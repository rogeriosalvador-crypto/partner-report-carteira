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KPIs do Grupo" sheetId="1" state="visible" r:id="rId1"/>
    <sheet name="🏪 Posicionamento Lojas" sheetId="2" state="visible" r:id="rId2"/>
    <sheet name="🔴 Ruptura Top 50 Itens" sheetId="3" state="visible" r:id="rId3"/>
    <sheet name="🚨 Alertas &amp; Destaques" sheetId="4" state="visible" r:id="rId4"/>
    <sheet name="📦 GMV CAP vs FAT" sheetId="5" state="visible" r:id="rId5"/>
    <sheet name="⚙️ Métricas por Loja" sheetId="6" state="visible" r:id="rId6"/>
    <sheet name="🏆 Ranking Pior → Melhor" sheetId="7" state="visible" r:id="rId7"/>
    <sheet name="🔍 Itens Rupturados Pareto 80%" sheetId="8" state="visible" r:id="rId8"/>
    <sheet name="_CD1" sheetId="9" state="hidden" r:id="rId9"/>
    <sheet name="_CD2" sheetId="10" state="hidden" r:id="rId10"/>
    <sheet name="_CD_POS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R$ #,##0.00"/>
    <numFmt numFmtId="165" formatCode="0.00&quot;%&quot;"/>
    <numFmt numFmtId="166" formatCode="0.0%"/>
    <numFmt numFmtId="167" formatCode="0.0"/>
    <numFmt numFmtId="168" formatCode="0.0&quot;%&quot;"/>
    <numFmt numFmtId="169" formatCode="#"/>
    <numFmt numFmtId="170" formatCode="+0.0;-0.0;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b val="1"/>
      <color rgb="00FFFFFF"/>
      <sz val="10"/>
    </font>
    <font>
      <name val="Calibri"/>
      <b val="1"/>
      <color rgb="00FFFFFF"/>
      <sz val="13"/>
    </font>
    <font>
      <name val="Calibri"/>
      <i val="1"/>
      <color rgb="00666666"/>
      <sz val="10"/>
    </font>
    <font>
      <b val="1"/>
      <color rgb="0027AE60"/>
      <sz val="11"/>
    </font>
    <font>
      <color rgb="001E8449"/>
      <sz val="10"/>
    </font>
    <font>
      <name val="Calibri"/>
      <color rgb="00C30C3E"/>
      <sz val="10"/>
    </font>
    <font>
      <name val="Calibri"/>
      <color rgb="0027AE60"/>
      <sz val="10"/>
    </font>
  </fonts>
  <fills count="8">
    <fill>
      <patternFill/>
    </fill>
    <fill>
      <patternFill patternType="gray125"/>
    </fill>
    <fill>
      <patternFill patternType="solid">
        <fgColor rgb="001E8449"/>
        <bgColor rgb="001E8449"/>
      </patternFill>
    </fill>
    <fill>
      <patternFill patternType="solid">
        <fgColor rgb="00FFFFFF"/>
        <bgColor rgb="00FFFFFF"/>
      </patternFill>
    </fill>
    <fill>
      <patternFill patternType="solid">
        <fgColor rgb="00FDF0F3"/>
        <bgColor rgb="00FDF0F3"/>
      </patternFill>
    </fill>
    <fill>
      <patternFill patternType="solid">
        <fgColor rgb="002C3E50"/>
        <bgColor rgb="002C3E50"/>
      </patternFill>
    </fill>
    <fill>
      <patternFill patternType="solid">
        <fgColor rgb="00D9D9D9"/>
        <bgColor rgb="00D9D9D9"/>
      </patternFill>
    </fill>
    <fill>
      <patternFill patternType="solid">
        <fgColor rgb="00C30C3E"/>
        <bgColor rgb="00C30C3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6" fontId="4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6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0" fillId="5" borderId="1" pivotButton="0" quotePrefix="0" xfId="0"/>
    <xf numFmtId="166" fontId="6" fillId="5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70" fontId="11" fillId="3" borderId="1" applyAlignment="1" pivotButton="0" quotePrefix="0" xfId="0">
      <alignment horizontal="center" vertical="center"/>
    </xf>
    <xf numFmtId="169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70" fontId="11" fillId="4" borderId="1" applyAlignment="1" pivotButton="0" quotePrefix="0" xfId="0">
      <alignment horizontal="center" vertical="center"/>
    </xf>
    <xf numFmtId="170" fontId="12" fillId="3" borderId="1" applyAlignment="1" pivotButton="0" quotePrefix="0" xfId="0">
      <alignment horizontal="center" vertical="center"/>
    </xf>
    <xf numFmtId="17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27AE60"/>
          <bgColor rgb="0027AE60"/>
        </patternFill>
      </fill>
    </dxf>
    <dxf>
      <fill>
        <patternFill patternType="solid">
          <fgColor rgb="00F4D03F"/>
          <bgColor rgb="00F4D03F"/>
        </patternFill>
      </fill>
    </dxf>
    <dxf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GMV Faturado &amp; Pedidos — FESTVAL 06/04 – 24/05/2026</a:t>
            </a:r>
          </a:p>
        </rich>
      </tx>
    </title>
    <plotArea>
      <lineChart>
        <grouping val="standard"/>
        <ser>
          <idx val="0"/>
          <order val="0"/>
          <tx>
            <strRef>
              <f>'_CD1'!B1</f>
            </strRef>
          </tx>
          <spPr>
            <a:ln w="25000">
              <a:solidFill>
                <a:srgbClr val="1E844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'_CD1'!$A$2:$A$8</f>
            </numRef>
          </cat>
          <val>
            <numRef>
              <f>'_CD1'!$B$2:$B$8</f>
            </numRef>
          </val>
        </ser>
        <ser>
          <idx val="1"/>
          <order val="1"/>
          <tx>
            <strRef>
              <f>'_CD1'!C1</f>
            </strRef>
          </tx>
          <spPr>
            <a:ln w="25000">
              <a:solidFill>
                <a:srgbClr val="C30C3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'_CD1'!$A$2:$A$8</f>
            </numRef>
          </cat>
          <val>
            <numRef>
              <f>'_CD1'!$C$2:$C$8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GMV Faturado por Loja — 18/05–24/05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'_CD_POS'!B1</f>
            </strRef>
          </tx>
          <spPr>
            <a:solidFill>
              <a:srgbClr val="1E8449"/>
            </a:solidFill>
            <a:ln>
              <a:prstDash val="solid"/>
            </a:ln>
          </spPr>
          <cat>
            <numRef>
              <f>'_CD_POS'!$A$2:$A$11</f>
            </numRef>
          </cat>
          <val>
            <numRef>
              <f>'_CD_POS'!$B$2:$B$11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por Loja — Pior → Melhor | 11/05–17/05 vs 18/05–24/05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'_CD2'!B1</f>
            </strRef>
          </tx>
          <spPr>
            <a:solidFill>
              <a:srgbClr val="1E8449"/>
            </a:solidFill>
            <a:ln>
              <a:prstDash val="solid"/>
            </a:ln>
          </spPr>
          <cat>
            <numRef>
              <f>'_CD2'!$A$2:$A$11</f>
            </numRef>
          </cat>
          <val>
            <numRef>
              <f>'_CD2'!$B$2:$B$11</f>
            </numRef>
          </val>
        </ser>
        <ser>
          <idx val="1"/>
          <order val="1"/>
          <tx>
            <strRef>
              <f>'_CD2'!C1</f>
            </strRef>
          </tx>
          <spPr>
            <a:solidFill>
              <a:srgbClr val="CCCCCC"/>
            </a:solidFill>
            <a:ln>
              <a:prstDash val="solid"/>
            </a:ln>
          </spPr>
          <cat>
            <numRef>
              <f>'_CD2'!$A$2:$A$11</f>
            </numRef>
          </cat>
          <val>
            <numRef>
              <f>'_CD2'!$C$2:$C$11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864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5" customWidth="1" min="7" max="7"/>
    <col width="18" customWidth="1" min="8" max="8"/>
  </cols>
  <sheetData>
    <row r="1" ht="35" customHeight="1">
      <c r="A1" s="1" t="inlineStr">
        <is>
          <t>FESTVAL — KPIs do Grupo | 06/04 – 24/05/2026</t>
        </is>
      </c>
    </row>
    <row r="2" ht="16" customHeight="1">
      <c r="A2" s="2" t="inlineStr">
        <is>
          <t>SLA do grupo exclui lojas Cascavel (logística própria) | S_LAST = 18/05–24/05</t>
        </is>
      </c>
    </row>
    <row r="3" ht="30" customHeight="1">
      <c r="A3" s="3" t="inlineStr">
        <is>
          <t>Semana</t>
        </is>
      </c>
      <c r="B3" s="3" t="inlineStr">
        <is>
          <t>GMV Faturado (R$)</t>
        </is>
      </c>
      <c r="C3" s="3" t="inlineStr">
        <is>
          <t>GMV Cancelado (R$)</t>
        </is>
      </c>
      <c r="D3" s="3" t="inlineStr">
        <is>
          <t>GMV Rupturado (R$)</t>
        </is>
      </c>
      <c r="E3" s="3" t="inlineStr">
        <is>
          <t>GMV CAP (R$)</t>
        </is>
      </c>
      <c r="F3" s="3" t="inlineStr">
        <is>
          <t>Pedidos</t>
        </is>
      </c>
      <c r="G3" s="3" t="inlineStr">
        <is>
          <t>SLA Grupo (%)</t>
        </is>
      </c>
      <c r="H3" s="3" t="inlineStr">
        <is>
          <t>Rupt. Pedidos (%)</t>
        </is>
      </c>
    </row>
    <row r="4">
      <c r="A4" s="4" t="inlineStr">
        <is>
          <t>06/04–12/04</t>
        </is>
      </c>
      <c r="B4" s="5" t="n">
        <v>485206.2200000001</v>
      </c>
      <c r="C4" s="5" t="n">
        <v>20719.55</v>
      </c>
      <c r="D4" s="5" t="n">
        <v>0</v>
      </c>
      <c r="E4" s="5" t="n">
        <v>505925.77</v>
      </c>
      <c r="F4" s="6" t="n">
        <v>2848</v>
      </c>
      <c r="G4" s="7" t="n">
        <v>0</v>
      </c>
      <c r="H4" s="7" t="n">
        <v>47.79</v>
      </c>
    </row>
    <row r="5">
      <c r="A5" s="8" t="inlineStr">
        <is>
          <t>13/04–19/04</t>
        </is>
      </c>
      <c r="B5" s="9" t="n">
        <v>460916.8199999999</v>
      </c>
      <c r="C5" s="9" t="n">
        <v>15616.99</v>
      </c>
      <c r="D5" s="9" t="n">
        <v>0</v>
      </c>
      <c r="E5" s="9" t="n">
        <v>476533.81</v>
      </c>
      <c r="F5" s="10" t="n">
        <v>2759</v>
      </c>
      <c r="G5" s="11" t="n">
        <v>0</v>
      </c>
      <c r="H5" s="11" t="n">
        <v>42.23</v>
      </c>
    </row>
    <row r="6">
      <c r="A6" s="4" t="inlineStr">
        <is>
          <t>20/04–26/04</t>
        </is>
      </c>
      <c r="B6" s="5" t="n">
        <v>457662.57</v>
      </c>
      <c r="C6" s="5" t="n">
        <v>13765.85</v>
      </c>
      <c r="D6" s="5" t="n">
        <v>0</v>
      </c>
      <c r="E6" s="5" t="n">
        <v>471428.42</v>
      </c>
      <c r="F6" s="6" t="n">
        <v>2855</v>
      </c>
      <c r="G6" s="7" t="n">
        <v>0</v>
      </c>
      <c r="H6" s="7" t="n">
        <v>43.4</v>
      </c>
    </row>
    <row r="7">
      <c r="A7" s="8" t="inlineStr">
        <is>
          <t>27/04–03/05</t>
        </is>
      </c>
      <c r="B7" s="9" t="n">
        <v>475779.34</v>
      </c>
      <c r="C7" s="9" t="n">
        <v>21412.78</v>
      </c>
      <c r="D7" s="9" t="n">
        <v>15642.71</v>
      </c>
      <c r="E7" s="9" t="n">
        <v>512834.83</v>
      </c>
      <c r="F7" s="10" t="n">
        <v>2972</v>
      </c>
      <c r="G7" s="11" t="n">
        <v>85.14</v>
      </c>
      <c r="H7" s="11" t="n">
        <v>42.5</v>
      </c>
    </row>
    <row r="8">
      <c r="A8" s="4" t="inlineStr">
        <is>
          <t>04/05–10/05</t>
        </is>
      </c>
      <c r="B8" s="5" t="n">
        <v>535249.61</v>
      </c>
      <c r="C8" s="5" t="n">
        <v>28488.14000000001</v>
      </c>
      <c r="D8" s="5" t="n">
        <v>22081.15</v>
      </c>
      <c r="E8" s="5" t="n">
        <v>585818.9</v>
      </c>
      <c r="F8" s="6" t="n">
        <v>3275</v>
      </c>
      <c r="G8" s="7" t="n">
        <v>78.76000000000001</v>
      </c>
      <c r="H8" s="7" t="n">
        <v>43.63</v>
      </c>
    </row>
    <row r="9">
      <c r="A9" s="8" t="inlineStr">
        <is>
          <t>11/05–17/05</t>
        </is>
      </c>
      <c r="B9" s="9" t="n">
        <v>519706.5500000001</v>
      </c>
      <c r="C9" s="9" t="n">
        <v>23961.19</v>
      </c>
      <c r="D9" s="9" t="n">
        <v>34221.54</v>
      </c>
      <c r="E9" s="9" t="n">
        <v>577889.28</v>
      </c>
      <c r="F9" s="10" t="n">
        <v>3200</v>
      </c>
      <c r="G9" s="11" t="n">
        <v>79.65000000000001</v>
      </c>
      <c r="H9" s="11" t="n">
        <v>42.03</v>
      </c>
    </row>
    <row r="10">
      <c r="A10" s="12" t="inlineStr">
        <is>
          <t>18/05–24/05</t>
        </is>
      </c>
      <c r="B10" s="13" t="n">
        <v>516390.75</v>
      </c>
      <c r="C10" s="13" t="n">
        <v>24669.21</v>
      </c>
      <c r="D10" s="13" t="n">
        <v>41585.96</v>
      </c>
      <c r="E10" s="13" t="n">
        <v>582645.9199999999</v>
      </c>
      <c r="F10" s="14" t="n">
        <v>3205</v>
      </c>
      <c r="G10" s="15" t="n">
        <v>80.39</v>
      </c>
      <c r="H10" s="15" t="n">
        <v>39.59</v>
      </c>
    </row>
    <row r="11">
      <c r="A11" s="16" t="inlineStr">
        <is>
          <t>TOTAL</t>
        </is>
      </c>
      <c r="B11" s="16" t="n"/>
      <c r="C11" s="17" t="n">
        <v>3450911.86</v>
      </c>
      <c r="D11" s="17" t="n">
        <v>148633.71</v>
      </c>
      <c r="E11" s="17" t="n">
        <v>113531.36</v>
      </c>
      <c r="F11" s="18" t="n">
        <v>3713076.93</v>
      </c>
      <c r="G11" s="16" t="n">
        <v>21114</v>
      </c>
      <c r="H11" s="16" t="n"/>
      <c r="I11" s="16" t="n"/>
    </row>
  </sheetData>
  <mergeCells count="2">
    <mergeCell ref="A2:H2"/>
    <mergeCell ref="A1:H1"/>
  </mergeCells>
  <conditionalFormatting sqref="G4:G10">
    <cfRule type="cellIs" priority="1" operator="greaterThanOrEqual" dxfId="0">
      <formula>80</formula>
    </cfRule>
    <cfRule type="cellIs" priority="2" operator="between" dxfId="1">
      <formula>75</formula>
      <formula>79.99</formula>
    </cfRule>
    <cfRule type="cellIs" priority="3" operator="lessThan" dxfId="2">
      <formula>75</formula>
    </cfRule>
  </conditionalFormatting>
  <conditionalFormatting sqref="H4:H10">
    <cfRule type="cellIs" priority="4" operator="lessThan" dxfId="0">
      <formula>20</formula>
    </cfRule>
    <cfRule type="cellIs" priority="5" operator="between" dxfId="1">
      <formula>20</formula>
      <formula>30</formula>
    </cfRule>
    <cfRule type="cellIs" priority="6" operator="greaterThan" dxfId="2">
      <formula>30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33" customHeight="1">
      <c r="A1" s="19" t="inlineStr">
        <is>
          <t>FESTVAL — Posicionamento Lojas | 18/05–24/05 (06/04 – 24/05/2026)</t>
        </is>
      </c>
    </row>
    <row r="2" ht="16" customHeight="1">
      <c r="A2" s="2" t="inlineStr">
        <is>
          <t>⚠️ Lojas Cascavel = logística própria | SLA cinza = sem dados de entrega iFood</t>
        </is>
      </c>
    </row>
    <row r="3" ht="30" customHeight="1">
      <c r="A3" s="3" t="inlineStr">
        <is>
          <t>Loja</t>
        </is>
      </c>
      <c r="B3" s="3" t="inlineStr">
        <is>
          <t>Cidade</t>
        </is>
      </c>
      <c r="C3" s="3" t="inlineStr">
        <is>
          <t>GMV FAT (R$)</t>
        </is>
      </c>
      <c r="D3" s="3" t="inlineStr">
        <is>
          <t>GMV CAP (R$)</t>
        </is>
      </c>
      <c r="E3" s="3" t="inlineStr">
        <is>
          <t>CAP/FAT (%)</t>
        </is>
      </c>
      <c r="F3" s="3" t="inlineStr">
        <is>
          <t>Pedidos</t>
        </is>
      </c>
      <c r="G3" s="3" t="inlineStr">
        <is>
          <t>SLA (%)</t>
        </is>
      </c>
      <c r="H3" s="3" t="inlineStr">
        <is>
          <t>NSU (%)</t>
        </is>
      </c>
      <c r="I3" s="3" t="inlineStr">
        <is>
          <t>Score</t>
        </is>
      </c>
    </row>
    <row r="4">
      <c r="A4" s="20" t="inlineStr">
        <is>
          <t>Festval - Republica Argentina</t>
        </is>
      </c>
      <c r="B4" s="4" t="inlineStr">
        <is>
          <t>CURITIBA</t>
        </is>
      </c>
      <c r="C4" s="5" t="n">
        <v>157579.3</v>
      </c>
      <c r="D4" s="5" t="n">
        <v>182430.85</v>
      </c>
      <c r="E4" s="21" t="n">
        <v>0.8637755072675481</v>
      </c>
      <c r="F4" s="6" t="n">
        <v>933</v>
      </c>
      <c r="G4" s="7" t="n">
        <v>70.95</v>
      </c>
      <c r="H4" s="7" t="n">
        <v>0.32</v>
      </c>
      <c r="I4" s="22" t="n">
        <v>26.7</v>
      </c>
    </row>
    <row r="5">
      <c r="A5" s="23" t="inlineStr">
        <is>
          <t>Festval - São Lourenço</t>
        </is>
      </c>
      <c r="B5" s="8" t="inlineStr">
        <is>
          <t>CURITIBA</t>
        </is>
      </c>
      <c r="C5" s="9" t="n">
        <v>82196.99000000002</v>
      </c>
      <c r="D5" s="9" t="n">
        <v>91144.81000000003</v>
      </c>
      <c r="E5" s="24" t="n">
        <v>0.9018285297868303</v>
      </c>
      <c r="F5" s="10" t="n">
        <v>591</v>
      </c>
      <c r="G5" s="11" t="n">
        <v>80.2</v>
      </c>
      <c r="H5" s="11" t="n">
        <v>0.34</v>
      </c>
      <c r="I5" s="25" t="n">
        <v>16</v>
      </c>
    </row>
    <row r="6">
      <c r="A6" s="20" t="inlineStr">
        <is>
          <t>Festval - Parque Tingui</t>
        </is>
      </c>
      <c r="B6" s="4" t="inlineStr">
        <is>
          <t>CURITIBA</t>
        </is>
      </c>
      <c r="C6" s="5" t="n">
        <v>73191.42</v>
      </c>
      <c r="D6" s="5" t="n">
        <v>82606.56</v>
      </c>
      <c r="E6" s="21" t="n">
        <v>0.8860243060599545</v>
      </c>
      <c r="F6" s="6" t="n">
        <v>424</v>
      </c>
      <c r="G6" s="7" t="n">
        <v>89.86</v>
      </c>
      <c r="H6" s="7" t="n">
        <v>3.07</v>
      </c>
      <c r="I6" s="22" t="n">
        <v>24.8</v>
      </c>
    </row>
    <row r="7">
      <c r="A7" s="23" t="inlineStr">
        <is>
          <t>Festval - São José dos pinhais</t>
        </is>
      </c>
      <c r="B7" s="8" t="inlineStr">
        <is>
          <t>SAO JOSE DOS PINHAIS</t>
        </is>
      </c>
      <c r="C7" s="9" t="n">
        <v>49171.77</v>
      </c>
      <c r="D7" s="9" t="n">
        <v>54205.57999999999</v>
      </c>
      <c r="E7" s="24" t="n">
        <v>0.907134837409728</v>
      </c>
      <c r="F7" s="10" t="n">
        <v>357</v>
      </c>
      <c r="G7" s="11" t="n">
        <v>87.68000000000001</v>
      </c>
      <c r="H7" s="11" t="n">
        <v>1.96</v>
      </c>
      <c r="I7" s="25" t="n">
        <v>19.1</v>
      </c>
    </row>
    <row r="8">
      <c r="A8" s="26" t="inlineStr">
        <is>
          <t>Festval Cascavel - Centro</t>
        </is>
      </c>
      <c r="B8" s="4" t="inlineStr">
        <is>
          <t>CASCAVEL</t>
        </is>
      </c>
      <c r="C8" s="5" t="n">
        <v>46468.02</v>
      </c>
      <c r="D8" s="5" t="n">
        <v>51932.24</v>
      </c>
      <c r="E8" s="21" t="n">
        <v>0.8947817386656151</v>
      </c>
      <c r="F8" s="6" t="n">
        <v>228</v>
      </c>
      <c r="G8" s="27" t="inlineStr">
        <is>
          <t>N/A</t>
        </is>
      </c>
      <c r="H8" s="7" t="n">
        <v>0</v>
      </c>
      <c r="I8" s="22" t="n">
        <v>41.3</v>
      </c>
    </row>
    <row r="9">
      <c r="A9" s="28" t="inlineStr">
        <is>
          <t>Festval - Av Brasil</t>
        </is>
      </c>
      <c r="B9" s="8" t="inlineStr">
        <is>
          <t>CASCAVEL</t>
        </is>
      </c>
      <c r="C9" s="9" t="n">
        <v>30475.12</v>
      </c>
      <c r="D9" s="9" t="n">
        <v>33315.81</v>
      </c>
      <c r="E9" s="24" t="n">
        <v>0.914734475913988</v>
      </c>
      <c r="F9" s="10" t="n">
        <v>142</v>
      </c>
      <c r="G9" s="27" t="inlineStr">
        <is>
          <t>N/A</t>
        </is>
      </c>
      <c r="H9" s="11" t="n">
        <v>0</v>
      </c>
      <c r="I9" s="25" t="n">
        <v>31.3</v>
      </c>
    </row>
    <row r="10">
      <c r="A10" s="20" t="inlineStr">
        <is>
          <t>Festval - Pinhais</t>
        </is>
      </c>
      <c r="B10" s="4" t="inlineStr">
        <is>
          <t>PINHAIS</t>
        </is>
      </c>
      <c r="C10" s="5" t="n">
        <v>28595.94</v>
      </c>
      <c r="D10" s="5" t="n">
        <v>33340.25</v>
      </c>
      <c r="E10" s="21" t="n">
        <v>0.8577002272028554</v>
      </c>
      <c r="F10" s="6" t="n">
        <v>245</v>
      </c>
      <c r="G10" s="7" t="n">
        <v>89.8</v>
      </c>
      <c r="H10" s="7" t="n">
        <v>1.22</v>
      </c>
      <c r="I10" s="22" t="n">
        <v>15.8</v>
      </c>
    </row>
    <row r="11">
      <c r="A11" s="28" t="inlineStr">
        <is>
          <t>Festval - Tancredo Neves</t>
        </is>
      </c>
      <c r="B11" s="8" t="inlineStr">
        <is>
          <t>CASCAVEL</t>
        </is>
      </c>
      <c r="C11" s="9" t="n">
        <v>20646.99</v>
      </c>
      <c r="D11" s="9" t="n">
        <v>23587.1</v>
      </c>
      <c r="E11" s="24" t="n">
        <v>0.8753509333491611</v>
      </c>
      <c r="F11" s="10" t="n">
        <v>114</v>
      </c>
      <c r="G11" s="27" t="inlineStr">
        <is>
          <t>N/A</t>
        </is>
      </c>
      <c r="H11" s="11" t="n">
        <v>0</v>
      </c>
      <c r="I11" s="25" t="n">
        <v>40.8</v>
      </c>
    </row>
    <row r="12">
      <c r="A12" s="26" t="inlineStr">
        <is>
          <t>Festval - Faculdade</t>
        </is>
      </c>
      <c r="B12" s="4" t="inlineStr">
        <is>
          <t>CASCAVEL</t>
        </is>
      </c>
      <c r="C12" s="5" t="n">
        <v>15802.83</v>
      </c>
      <c r="D12" s="5" t="n">
        <v>16896.18</v>
      </c>
      <c r="E12" s="21" t="n">
        <v>0.9352901069945987</v>
      </c>
      <c r="F12" s="6" t="n">
        <v>102</v>
      </c>
      <c r="G12" s="27" t="inlineStr">
        <is>
          <t>N/A</t>
        </is>
      </c>
      <c r="H12" s="7" t="n">
        <v>0</v>
      </c>
      <c r="I12" s="22" t="n">
        <v>31.4</v>
      </c>
    </row>
    <row r="13">
      <c r="A13" s="28" t="inlineStr">
        <is>
          <t>Festval Carlos Gomes</t>
        </is>
      </c>
      <c r="B13" s="8" t="inlineStr">
        <is>
          <t>CASCAVEL</t>
        </is>
      </c>
      <c r="C13" s="9" t="n">
        <v>12262.37</v>
      </c>
      <c r="D13" s="9" t="n">
        <v>13186.54</v>
      </c>
      <c r="E13" s="24" t="n">
        <v>0.9299156564193488</v>
      </c>
      <c r="F13" s="10" t="n">
        <v>69</v>
      </c>
      <c r="G13" s="27" t="inlineStr">
        <is>
          <t>N/A</t>
        </is>
      </c>
      <c r="H13" s="11" t="n">
        <v>0</v>
      </c>
      <c r="I13" s="25" t="n">
        <v>34.8</v>
      </c>
    </row>
  </sheetData>
  <mergeCells count="2">
    <mergeCell ref="A1:I1"/>
    <mergeCell ref="A2:I2"/>
  </mergeCells>
  <conditionalFormatting sqref="G4:G13">
    <cfRule type="cellIs" priority="1" operator="greaterThanOrEqual" dxfId="0">
      <formula>80</formula>
    </cfRule>
    <cfRule type="cellIs" priority="2" operator="between" dxfId="1">
      <formula>75</formula>
      <formula>79.99</formula>
    </cfRule>
    <cfRule type="cellIs" priority="3" operator="lessThan" dxfId="2">
      <formula>75</formula>
    </cfRule>
  </conditionalFormatting>
  <conditionalFormatting sqref="H4:H13">
    <cfRule type="cellIs" priority="4" operator="lessThan" dxfId="0">
      <formula>15</formula>
    </cfRule>
    <cfRule type="cellIs" priority="5" operator="between" dxfId="1">
      <formula>15</formula>
      <formula>25</formula>
    </cfRule>
    <cfRule type="cellIs" priority="6" operator="greaterThan" dxfId="2">
      <formula>25</formula>
    </cfRule>
  </conditionalFormatting>
  <conditionalFormatting sqref="I4:I13">
    <cfRule type="cellIs" priority="7" operator="lessThan" dxfId="0">
      <formula>20</formula>
    </cfRule>
    <cfRule type="cellIs" priority="8" operator="between" dxfId="1">
      <formula>20</formula>
      <formula>40</formula>
    </cfRule>
    <cfRule type="cellIs" priority="9" operator="greaterThan" dxfId="2">
      <formula>40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25" customWidth="1" min="3" max="3"/>
    <col width="20" customWidth="1" min="4" max="4"/>
    <col width="15" customWidth="1" min="5" max="5"/>
    <col width="18" customWidth="1" min="6" max="6"/>
    <col width="14" customWidth="1" min="7" max="7"/>
  </cols>
  <sheetData>
    <row r="1" ht="33" customHeight="1">
      <c r="A1" s="29" t="inlineStr">
        <is>
          <t>FESTVAL — Top 46 Itens Ruptura | 18/05–24/05 | 06/04 – 24/05/2026</t>
        </is>
      </c>
    </row>
    <row r="2" ht="30" customHeight="1">
      <c r="A2" s="3" t="inlineStr">
        <is>
          <t>Produto</t>
        </is>
      </c>
      <c r="B2" s="3" t="inlineStr">
        <is>
          <t>Departamento</t>
        </is>
      </c>
      <c r="C2" s="3" t="inlineStr">
        <is>
          <t>Categoria</t>
        </is>
      </c>
      <c r="D2" s="3" t="inlineStr">
        <is>
          <t>Marca</t>
        </is>
      </c>
      <c r="E2" s="3" t="inlineStr">
        <is>
          <t>Qtd Rupturada</t>
        </is>
      </c>
      <c r="F2" s="3" t="inlineStr">
        <is>
          <t>GMV Perdido (R$)</t>
        </is>
      </c>
      <c r="G2" s="3" t="inlineStr">
        <is>
          <t>% Acumulado</t>
        </is>
      </c>
    </row>
    <row r="3">
      <c r="A3" s="20" t="inlineStr">
        <is>
          <t>File Mignon</t>
        </is>
      </c>
      <c r="B3" s="20" t="inlineStr">
        <is>
          <t>Carnes, Aves e Peixes</t>
        </is>
      </c>
      <c r="C3" s="20" t="inlineStr">
        <is>
          <t>Bovinos</t>
        </is>
      </c>
      <c r="D3" s="20" t="inlineStr">
        <is>
          <t>Açougue</t>
        </is>
      </c>
      <c r="E3" s="6" t="n">
        <v>8</v>
      </c>
      <c r="F3" s="5" t="n">
        <v>1079.84</v>
      </c>
      <c r="G3" s="21" t="n">
        <v>0.07760833177015618</v>
      </c>
    </row>
    <row r="4">
      <c r="A4" s="23" t="inlineStr">
        <is>
          <t>Vinho Rutini Wines Malbec 750ml</t>
        </is>
      </c>
      <c r="B4" s="23" t="inlineStr">
        <is>
          <t>Vinhos, Destilados e Drinks Prontos</t>
        </is>
      </c>
      <c r="C4" s="23" t="inlineStr">
        <is>
          <t>Vinhos</t>
        </is>
      </c>
      <c r="D4" s="23" t="inlineStr">
        <is>
          <t>Rutini</t>
        </is>
      </c>
      <c r="E4" s="10" t="n">
        <v>3</v>
      </c>
      <c r="F4" s="9" t="n">
        <v>968.76</v>
      </c>
      <c r="G4" s="24" t="n">
        <v>0.1472333201810842</v>
      </c>
    </row>
    <row r="5">
      <c r="A5" s="20" t="inlineStr">
        <is>
          <t>File Mignon 3/4 Resf.Do Chef</t>
        </is>
      </c>
      <c r="B5" s="20" t="inlineStr">
        <is>
          <t>Bazar e Utilidades</t>
        </is>
      </c>
      <c r="C5" s="20" t="inlineStr">
        <is>
          <t>Utensílios Diversos</t>
        </is>
      </c>
      <c r="D5" s="20" t="inlineStr">
        <is>
          <t>Do Chef</t>
        </is>
      </c>
      <c r="E5" s="6" t="n">
        <v>7</v>
      </c>
      <c r="F5" s="5" t="n">
        <v>944.8599999999999</v>
      </c>
      <c r="G5" s="21" t="n">
        <v>0.2151406104799709</v>
      </c>
    </row>
    <row r="6">
      <c r="A6" s="23" t="inlineStr">
        <is>
          <t>File Mignon Peca Inteira Kg</t>
        </is>
      </c>
      <c r="B6" s="23" t="inlineStr">
        <is>
          <t>Bazar e Utilidades</t>
        </is>
      </c>
      <c r="C6" s="23" t="inlineStr">
        <is>
          <t>Utensílios Diversos</t>
        </is>
      </c>
      <c r="D6" s="23" t="inlineStr">
        <is>
          <t>Marca Própria</t>
        </is>
      </c>
      <c r="E6" s="10" t="n">
        <v>5</v>
      </c>
      <c r="F6" s="9" t="n">
        <v>674.9</v>
      </c>
      <c r="G6" s="24" t="n">
        <v>0.2636458178363185</v>
      </c>
    </row>
    <row r="7">
      <c r="A7" s="20" t="inlineStr">
        <is>
          <t>Filé de Salmão Pedaço 500g</t>
        </is>
      </c>
      <c r="B7" s="20" t="inlineStr">
        <is>
          <t>Carnes, Aves e Peixes</t>
        </is>
      </c>
      <c r="C7" s="20" t="inlineStr">
        <is>
          <t>Peixes</t>
        </is>
      </c>
      <c r="D7" s="20" t="inlineStr">
        <is>
          <t>Seara Pescados</t>
        </is>
      </c>
      <c r="E7" s="6" t="n">
        <v>6</v>
      </c>
      <c r="F7" s="5" t="n">
        <v>543.66</v>
      </c>
      <c r="G7" s="21" t="n">
        <v>0.3027187783213562</v>
      </c>
    </row>
    <row r="8">
      <c r="A8" s="23" t="inlineStr">
        <is>
          <t>Musculo Sem Osso Kg</t>
        </is>
      </c>
      <c r="B8" s="23" t="inlineStr">
        <is>
          <t>Carnes, Aves e Peixes</t>
        </is>
      </c>
      <c r="C8" s="23" t="inlineStr">
        <is>
          <t>Bovinos</t>
        </is>
      </c>
      <c r="D8" s="23" t="inlineStr">
        <is>
          <t>Marca Própria</t>
        </is>
      </c>
      <c r="E8" s="10" t="n">
        <v>10</v>
      </c>
      <c r="F8" s="9" t="n">
        <v>539.8</v>
      </c>
      <c r="G8" s="24" t="n">
        <v>0.3415143197807672</v>
      </c>
    </row>
    <row r="9">
      <c r="A9" s="20" t="inlineStr">
        <is>
          <t>Filé de Coxas e Sobrecoxas Lar Iqf 1kg</t>
        </is>
      </c>
      <c r="B9" s="20" t="inlineStr">
        <is>
          <t>Carnes, Aves e Peixes</t>
        </is>
      </c>
      <c r="C9" s="20" t="inlineStr">
        <is>
          <t>Aves</t>
        </is>
      </c>
      <c r="D9" s="20" t="inlineStr">
        <is>
          <t>Lar</t>
        </is>
      </c>
      <c r="E9" s="6" t="n">
        <v>20</v>
      </c>
      <c r="F9" s="5" t="n">
        <v>449.02</v>
      </c>
      <c r="G9" s="21" t="n">
        <v>0.3737854832229767</v>
      </c>
    </row>
    <row r="10">
      <c r="A10" s="23" t="inlineStr">
        <is>
          <t>File Mignon Peca Inteira Kg</t>
        </is>
      </c>
      <c r="B10" s="23" t="inlineStr">
        <is>
          <t>Bazar e Utilidades</t>
        </is>
      </c>
      <c r="C10" s="23" t="inlineStr">
        <is>
          <t>Utensílios Diversos</t>
        </is>
      </c>
      <c r="D10" s="23" t="inlineStr">
        <is>
          <t>Friboi</t>
        </is>
      </c>
      <c r="E10" s="10" t="n">
        <v>3</v>
      </c>
      <c r="F10" s="9" t="n">
        <v>404.94</v>
      </c>
      <c r="G10" s="24" t="n">
        <v>0.4028886076367852</v>
      </c>
    </row>
    <row r="11">
      <c r="A11" s="20" t="inlineStr">
        <is>
          <t>Bombom da Alcatra 1953</t>
        </is>
      </c>
      <c r="B11" s="20" t="inlineStr">
        <is>
          <t>Carnes, Aves e Peixes</t>
        </is>
      </c>
      <c r="C11" s="20" t="inlineStr">
        <is>
          <t>Bovinos</t>
        </is>
      </c>
      <c r="D11" s="20" t="inlineStr">
        <is>
          <t>Açougue</t>
        </is>
      </c>
      <c r="E11" s="6" t="n">
        <v>6</v>
      </c>
      <c r="F11" s="5" t="n">
        <v>343.38</v>
      </c>
      <c r="G11" s="21" t="n">
        <v>0.4275674016833442</v>
      </c>
    </row>
    <row r="12">
      <c r="A12" s="23" t="inlineStr">
        <is>
          <t>Peito de Frango em Tiras Grelhado Congelado Nat 400g</t>
        </is>
      </c>
      <c r="B12" s="23" t="inlineStr">
        <is>
          <t>Carnes, Aves e Peixes</t>
        </is>
      </c>
      <c r="C12" s="23" t="inlineStr">
        <is>
          <t>Aves</t>
        </is>
      </c>
      <c r="D12" s="23" t="inlineStr">
        <is>
          <t>Nat</t>
        </is>
      </c>
      <c r="E12" s="10" t="n">
        <v>14</v>
      </c>
      <c r="F12" s="9" t="n">
        <v>317.38</v>
      </c>
      <c r="G12" s="24" t="n">
        <v>0.4503775701686866</v>
      </c>
    </row>
    <row r="13">
      <c r="A13" s="20" t="inlineStr">
        <is>
          <t>Fórmula Infantil Nanlac Supreme Pro 1 A 3 Anos Lata 800g</t>
        </is>
      </c>
      <c r="B13" s="20" t="inlineStr">
        <is>
          <t>Leites</t>
        </is>
      </c>
      <c r="C13" s="20" t="inlineStr">
        <is>
          <t>Fórmula Infantil</t>
        </is>
      </c>
      <c r="D13" s="20" t="inlineStr">
        <is>
          <t>Nanlac</t>
        </is>
      </c>
      <c r="E13" s="6" t="n">
        <v>3</v>
      </c>
      <c r="F13" s="5" t="n">
        <v>307.47</v>
      </c>
      <c r="G13" s="21" t="n">
        <v>0.47247550483435</v>
      </c>
    </row>
    <row r="14">
      <c r="A14" s="23" t="inlineStr">
        <is>
          <t>Whisky 15 Anos Dewars 750ml</t>
        </is>
      </c>
      <c r="B14" s="23" t="inlineStr">
        <is>
          <t>Vinhos, Destilados e Drinks Prontos</t>
        </is>
      </c>
      <c r="C14" s="23" t="inlineStr">
        <is>
          <t>Destilados</t>
        </is>
      </c>
      <c r="D14" s="23" t="inlineStr">
        <is>
          <t>Dewar's</t>
        </is>
      </c>
      <c r="E14" s="10" t="n">
        <v>1</v>
      </c>
      <c r="F14" s="9" t="n">
        <v>302.85</v>
      </c>
      <c r="G14" s="24" t="n">
        <v>0.494241399111828</v>
      </c>
    </row>
    <row r="15">
      <c r="A15" s="20" t="inlineStr">
        <is>
          <t>Lava-Roupas Líquido Concentrado Neutro Onda Eco Frasco 1kg 1l</t>
        </is>
      </c>
      <c r="B15" s="20" t="inlineStr">
        <is>
          <t>Limpeza</t>
        </is>
      </c>
      <c r="C15" s="20" t="inlineStr">
        <is>
          <t>Roupas</t>
        </is>
      </c>
      <c r="D15" s="20" t="inlineStr">
        <is>
          <t>Onda Eco</t>
        </is>
      </c>
      <c r="E15" s="6" t="n">
        <v>6</v>
      </c>
      <c r="F15" s="5" t="n">
        <v>290.94</v>
      </c>
      <c r="G15" s="21" t="n">
        <v>0.515151319141841</v>
      </c>
    </row>
    <row r="16">
      <c r="A16" s="23" t="inlineStr">
        <is>
          <t>Qj.Mussarela Frimesa Peca K G</t>
        </is>
      </c>
      <c r="B16" s="23" t="inlineStr">
        <is>
          <t>Frios e Laticínios</t>
        </is>
      </c>
      <c r="C16" s="23" t="inlineStr">
        <is>
          <t>Queijos</t>
        </is>
      </c>
      <c r="D16" s="23" t="inlineStr">
        <is>
          <t>Frimesa</t>
        </is>
      </c>
      <c r="E16" s="10" t="n">
        <v>4</v>
      </c>
      <c r="F16" s="9" t="n">
        <v>280.36</v>
      </c>
      <c r="G16" s="24" t="n">
        <v>0.5353008523088666</v>
      </c>
    </row>
    <row r="17">
      <c r="A17" s="20" t="inlineStr">
        <is>
          <t>Carne Moída de Alcatra Reserva Friboi 400g</t>
        </is>
      </c>
      <c r="B17" s="20" t="inlineStr">
        <is>
          <t>Carnes, Aves e Peixes</t>
        </is>
      </c>
      <c r="C17" s="20" t="inlineStr">
        <is>
          <t>Bovinos</t>
        </is>
      </c>
      <c r="D17" s="20" t="inlineStr">
        <is>
          <t>Friboi</t>
        </is>
      </c>
      <c r="E17" s="6" t="n">
        <v>8</v>
      </c>
      <c r="F17" s="5" t="n">
        <v>276.4</v>
      </c>
      <c r="G17" s="21" t="n">
        <v>0.5551657794288761</v>
      </c>
    </row>
    <row r="18">
      <c r="A18" s="23" t="inlineStr">
        <is>
          <t>Músculo Bovino Sem Osso</t>
        </is>
      </c>
      <c r="B18" s="23" t="inlineStr">
        <is>
          <t>Carnes, Aves e Peixes</t>
        </is>
      </c>
      <c r="C18" s="23" t="inlineStr">
        <is>
          <t>Bovinos</t>
        </is>
      </c>
      <c r="D18" s="23" t="inlineStr">
        <is>
          <t>Fabricação Própria</t>
        </is>
      </c>
      <c r="E18" s="10" t="n">
        <v>5</v>
      </c>
      <c r="F18" s="9" t="n">
        <v>269.9</v>
      </c>
      <c r="G18" s="24" t="n">
        <v>0.5745635501585816</v>
      </c>
    </row>
    <row r="19">
      <c r="A19" s="20" t="inlineStr">
        <is>
          <t>Ovos Vermelhos Grandes Mantiqueira Happy Eggs 20 Unidades</t>
        </is>
      </c>
      <c r="B19" s="20" t="inlineStr">
        <is>
          <t>Feira</t>
        </is>
      </c>
      <c r="C19" s="20" t="inlineStr">
        <is>
          <t>Ovos</t>
        </is>
      </c>
      <c r="D19" s="20" t="inlineStr">
        <is>
          <t>Mantiqueira</t>
        </is>
      </c>
      <c r="E19" s="6" t="n">
        <v>12</v>
      </c>
      <c r="F19" s="5" t="n">
        <v>259.08</v>
      </c>
      <c r="G19" s="21" t="n">
        <v>0.5931836851739654</v>
      </c>
    </row>
    <row r="20">
      <c r="A20" s="23" t="inlineStr">
        <is>
          <t>Espumante Cava Codorniu Clasico Rosado 750ml</t>
        </is>
      </c>
      <c r="B20" s="23" t="inlineStr">
        <is>
          <t>Vinhos, Destilados e Drinks Prontos</t>
        </is>
      </c>
      <c r="C20" s="23" t="inlineStr">
        <is>
          <t>Vinhos</t>
        </is>
      </c>
      <c r="D20" s="23" t="inlineStr">
        <is>
          <t>Codorníu</t>
        </is>
      </c>
      <c r="E20" s="10" t="n">
        <v>3</v>
      </c>
      <c r="F20" s="9" t="n">
        <v>255.96</v>
      </c>
      <c r="G20" s="24" t="n">
        <v>0.6115795851220032</v>
      </c>
    </row>
    <row r="21">
      <c r="A21" s="20" t="inlineStr">
        <is>
          <t>Iogurte Desnatado Morango Zero Lactose Verde Campo Natural Whey 15g de Proteína Frasco 250g</t>
        </is>
      </c>
      <c r="B21" s="20" t="inlineStr">
        <is>
          <t>Iogurte e Bebida Láctea, Leites em Pó e Leites Especiais</t>
        </is>
      </c>
      <c r="C21" s="20" t="inlineStr">
        <is>
          <t>Iogurtes e Bebida Láctea</t>
        </is>
      </c>
      <c r="D21" s="20" t="inlineStr">
        <is>
          <t>Verde Campo</t>
        </is>
      </c>
      <c r="E21" s="6" t="n">
        <v>19</v>
      </c>
      <c r="F21" s="5" t="n">
        <v>252.89</v>
      </c>
      <c r="G21" s="21" t="n">
        <v>0.6297548435133896</v>
      </c>
    </row>
    <row r="22">
      <c r="A22" s="23" t="inlineStr">
        <is>
          <t>Antimofo Neutro Secar 180g</t>
        </is>
      </c>
      <c r="B22" s="23" t="inlineStr">
        <is>
          <t>Limpeza</t>
        </is>
      </c>
      <c r="C22" s="23" t="inlineStr">
        <is>
          <t xml:space="preserve">Desodorizadores e Aromatizantes </t>
        </is>
      </c>
      <c r="D22" s="23" t="inlineStr">
        <is>
          <t>Secar</t>
        </is>
      </c>
      <c r="E22" s="10" t="n">
        <v>12</v>
      </c>
      <c r="F22" s="9" t="n">
        <v>226.2</v>
      </c>
      <c r="G22" s="24" t="n">
        <v>0.6460118858959735</v>
      </c>
    </row>
    <row r="23">
      <c r="A23" s="20" t="inlineStr">
        <is>
          <t>Espumante Casa Valduga 130 Brut Garrafa 750ml</t>
        </is>
      </c>
      <c r="B23" s="20" t="inlineStr">
        <is>
          <t>Vinhos, Destilados e Drinks Prontos</t>
        </is>
      </c>
      <c r="C23" s="20" t="inlineStr">
        <is>
          <t>Vinhos</t>
        </is>
      </c>
      <c r="D23" s="20" t="inlineStr">
        <is>
          <t>Casa Valduga</t>
        </is>
      </c>
      <c r="E23" s="6" t="n">
        <v>1</v>
      </c>
      <c r="F23" s="5" t="n">
        <v>215.89</v>
      </c>
      <c r="G23" s="21" t="n">
        <v>0.661527946373321</v>
      </c>
    </row>
    <row r="24">
      <c r="A24" s="23" t="inlineStr">
        <is>
          <t>Pao Sab.De France Rustico Kg</t>
        </is>
      </c>
      <c r="B24" s="23" t="inlineStr">
        <is>
          <t>Padaria</t>
        </is>
      </c>
      <c r="C24" s="23" t="inlineStr">
        <is>
          <t>Pães</t>
        </is>
      </c>
      <c r="D24" s="23" t="inlineStr">
        <is>
          <t>Fabricação Própria</t>
        </is>
      </c>
      <c r="E24" s="10" t="n">
        <v>7</v>
      </c>
      <c r="F24" s="9" t="n">
        <v>214.55</v>
      </c>
      <c r="G24" s="24" t="n">
        <v>0.6769477007640521</v>
      </c>
    </row>
    <row r="25">
      <c r="A25" s="20" t="inlineStr">
        <is>
          <t>Picanha 1953 Kg</t>
        </is>
      </c>
      <c r="B25" s="20" t="inlineStr">
        <is>
          <t>Carnes, Aves e Peixes</t>
        </is>
      </c>
      <c r="C25" s="20" t="inlineStr">
        <is>
          <t>Bovinos</t>
        </is>
      </c>
      <c r="D25" s="20" t="inlineStr">
        <is>
          <t>Friboi</t>
        </is>
      </c>
      <c r="E25" s="6" t="n">
        <v>1</v>
      </c>
      <c r="F25" s="5" t="n">
        <v>205.18</v>
      </c>
      <c r="G25" s="21" t="n">
        <v>0.6916940312506062</v>
      </c>
    </row>
    <row r="26">
      <c r="A26" s="23" t="inlineStr">
        <is>
          <t>Lombo De Bacalhau Dessalgado Riberalves 800g</t>
        </is>
      </c>
      <c r="B26" s="23" t="inlineStr">
        <is>
          <t>Carnes, Aves e Peixes</t>
        </is>
      </c>
      <c r="C26" s="23" t="inlineStr">
        <is>
          <t>Peixes</t>
        </is>
      </c>
      <c r="D26" s="23" t="inlineStr">
        <is>
          <t>Riberalves</t>
        </is>
      </c>
      <c r="E26" s="10" t="n">
        <v>1</v>
      </c>
      <c r="F26" s="9" t="n">
        <v>205.09</v>
      </c>
      <c r="G26" s="24" t="n">
        <v>0.7064338934179101</v>
      </c>
    </row>
    <row r="27">
      <c r="A27" s="20" t="inlineStr">
        <is>
          <t>Espumante Cave Geisse Nature Garrafa 750ml</t>
        </is>
      </c>
      <c r="B27" s="20" t="inlineStr">
        <is>
          <t>Vinhos, Destilados e Drinks Prontos</t>
        </is>
      </c>
      <c r="C27" s="20" t="inlineStr">
        <is>
          <t>Vinhos</t>
        </is>
      </c>
      <c r="D27" s="20" t="inlineStr">
        <is>
          <t>CAVE GEISSE</t>
        </is>
      </c>
      <c r="E27" s="6" t="n">
        <v>1</v>
      </c>
      <c r="F27" s="5" t="n">
        <v>205.09</v>
      </c>
      <c r="G27" s="21" t="n">
        <v>0.7211737555852139</v>
      </c>
    </row>
    <row r="28">
      <c r="A28" s="23" t="inlineStr">
        <is>
          <t>Queijo Mussarela President Fatiado 300g</t>
        </is>
      </c>
      <c r="B28" s="23" t="inlineStr">
        <is>
          <t>Frios e Laticínios</t>
        </is>
      </c>
      <c r="C28" s="23" t="inlineStr">
        <is>
          <t>Queijos</t>
        </is>
      </c>
      <c r="D28" s="23" t="inlineStr">
        <is>
          <t>Président</t>
        </is>
      </c>
      <c r="E28" s="10" t="n">
        <v>10</v>
      </c>
      <c r="F28" s="9" t="n">
        <v>204.8</v>
      </c>
      <c r="G28" s="24" t="n">
        <v>0.7358927753904887</v>
      </c>
    </row>
    <row r="29">
      <c r="A29" s="20" t="inlineStr">
        <is>
          <t>Choclindt Gold Bar Milk 300G</t>
        </is>
      </c>
      <c r="B29" s="20" t="inlineStr">
        <is>
          <t>Doces e Sobremesas</t>
        </is>
      </c>
      <c r="C29" s="20" t="inlineStr">
        <is>
          <t>Chocolates e Bombons</t>
        </is>
      </c>
      <c r="D29" s="20" t="inlineStr">
        <is>
          <t>Lindt</t>
        </is>
      </c>
      <c r="E29" s="6" t="n">
        <v>2</v>
      </c>
      <c r="F29" s="5" t="n">
        <v>204.8</v>
      </c>
      <c r="G29" s="21" t="n">
        <v>0.7506117951957635</v>
      </c>
    </row>
    <row r="30">
      <c r="A30" s="23" t="inlineStr">
        <is>
          <t>Burguer Amazonika 230g</t>
        </is>
      </c>
      <c r="B30" s="23" t="inlineStr">
        <is>
          <t>Congelados e Resfriados</t>
        </is>
      </c>
      <c r="C30" s="23" t="inlineStr">
        <is>
          <t>Hambúrgueres</t>
        </is>
      </c>
      <c r="D30" s="23" t="inlineStr">
        <is>
          <t>New</t>
        </is>
      </c>
      <c r="E30" s="10" t="n">
        <v>8</v>
      </c>
      <c r="F30" s="9" t="n">
        <v>198.64</v>
      </c>
      <c r="G30" s="24" t="n">
        <v>0.7648880944834577</v>
      </c>
    </row>
    <row r="31">
      <c r="A31" s="20" t="inlineStr">
        <is>
          <t>Almôndegas de Carne Bovina Reserva Friboi 360g</t>
        </is>
      </c>
      <c r="B31" s="20" t="inlineStr">
        <is>
          <t>Carnes, Aves e Peixes</t>
        </is>
      </c>
      <c r="C31" s="20" t="inlineStr">
        <is>
          <t>Bovinos</t>
        </is>
      </c>
      <c r="D31" s="20" t="inlineStr">
        <is>
          <t>Friboi</t>
        </is>
      </c>
      <c r="E31" s="6" t="n">
        <v>8</v>
      </c>
      <c r="F31" s="5" t="n">
        <v>198.56</v>
      </c>
      <c r="G31" s="21" t="n">
        <v>0.7791586441540406</v>
      </c>
    </row>
    <row r="32">
      <c r="A32" s="23" t="inlineStr">
        <is>
          <t>Queijo Parmesão Em Forma Vigor/Faixa Azul 1Kg</t>
        </is>
      </c>
      <c r="B32" s="23" t="inlineStr">
        <is>
          <t>Frios e Laticínios</t>
        </is>
      </c>
      <c r="C32" s="23" t="inlineStr">
        <is>
          <t>Queijos</t>
        </is>
      </c>
      <c r="D32" s="23" t="inlineStr">
        <is>
          <t>Yema</t>
        </is>
      </c>
      <c r="E32" s="10" t="n">
        <v>1</v>
      </c>
      <c r="F32" s="9" t="n">
        <v>194.65</v>
      </c>
      <c r="G32" s="24" t="n">
        <v>0.793148181288302</v>
      </c>
    </row>
    <row r="33">
      <c r="A33" s="20" t="inlineStr">
        <is>
          <t>Suco de Tangerina Integral Villa Piva 300ml</t>
        </is>
      </c>
      <c r="B33" s="20" t="inlineStr">
        <is>
          <t>Bebidas</t>
        </is>
      </c>
      <c r="C33" s="20" t="inlineStr">
        <is>
          <t>Sucos</t>
        </is>
      </c>
      <c r="D33" s="20" t="inlineStr">
        <is>
          <t>Villa Piva</t>
        </is>
      </c>
      <c r="E33" s="6" t="n">
        <v>12</v>
      </c>
      <c r="F33" s="5" t="n">
        <v>194.28</v>
      </c>
      <c r="G33" s="21" t="n">
        <v>0.8071111264434231</v>
      </c>
    </row>
    <row r="34">
      <c r="A34" s="23" t="inlineStr">
        <is>
          <t xml:space="preserve">Carne Bovina Baby Beef Alcatra A Vácuo Reserva Kg </t>
        </is>
      </c>
      <c r="B34" s="23" t="inlineStr">
        <is>
          <t>Carnes, Aves e Peixes</t>
        </is>
      </c>
      <c r="C34" s="23" t="inlineStr">
        <is>
          <t>Bovinos</t>
        </is>
      </c>
      <c r="D34" s="23" t="inlineStr">
        <is>
          <t>Reserva</t>
        </is>
      </c>
      <c r="E34" s="10" t="n">
        <v>2</v>
      </c>
      <c r="F34" s="9" t="n">
        <v>190.04</v>
      </c>
      <c r="G34" s="24" t="n">
        <v>0.8207693418916382</v>
      </c>
    </row>
    <row r="35">
      <c r="A35" s="20" t="inlineStr">
        <is>
          <t>Cafe Grao Lucca Blend Purple Torr.1Kg</t>
        </is>
      </c>
      <c r="B35" s="20" t="inlineStr">
        <is>
          <t>Matinais</t>
        </is>
      </c>
      <c r="C35" s="20" t="inlineStr">
        <is>
          <t>Cafés</t>
        </is>
      </c>
      <c r="D35" s="20" t="inlineStr">
        <is>
          <t>Lucca</t>
        </is>
      </c>
      <c r="E35" s="6" t="n">
        <v>1</v>
      </c>
      <c r="F35" s="5" t="n">
        <v>189.97</v>
      </c>
      <c r="G35" s="21" t="n">
        <v>0.8344225264248806</v>
      </c>
    </row>
    <row r="36">
      <c r="A36" s="23" t="inlineStr">
        <is>
          <t>Iogurte Yopro Natural 17g de Proteínas 160g</t>
        </is>
      </c>
      <c r="B36" s="23" t="inlineStr">
        <is>
          <t>Iogurte e Bebida Láctea, Leites em Pó e Leites Especiais</t>
        </is>
      </c>
      <c r="C36" s="23" t="inlineStr">
        <is>
          <t>Iogurtes e Bebida Láctea</t>
        </is>
      </c>
      <c r="D36" s="23" t="inlineStr">
        <is>
          <t>Yopro</t>
        </is>
      </c>
      <c r="E36" s="10" t="n">
        <v>16</v>
      </c>
      <c r="F36" s="9" t="n">
        <v>189.76</v>
      </c>
      <c r="G36" s="24" t="n">
        <v>0.8480606182132056</v>
      </c>
    </row>
    <row r="37">
      <c r="A37" s="20" t="inlineStr">
        <is>
          <t>Batata Palha Extrafina Yoki Pacote 190g Embalagem Econômica</t>
        </is>
      </c>
      <c r="B37" s="20" t="inlineStr">
        <is>
          <t>Biscoitos e Salgadinhos</t>
        </is>
      </c>
      <c r="C37" s="20" t="inlineStr">
        <is>
          <t>Salgadinhos e Snacks</t>
        </is>
      </c>
      <c r="D37" s="20" t="inlineStr">
        <is>
          <t>Yoki</t>
        </is>
      </c>
      <c r="E37" s="6" t="n">
        <v>9</v>
      </c>
      <c r="F37" s="5" t="n">
        <v>187.17</v>
      </c>
      <c r="G37" s="21" t="n">
        <v>0.8615125661475479</v>
      </c>
    </row>
    <row r="38">
      <c r="A38" s="23" t="inlineStr">
        <is>
          <t>Whisky Jack Daniels Honey Garrafa 1 Litro + Grátis Copo</t>
        </is>
      </c>
      <c r="B38" s="23" t="inlineStr">
        <is>
          <t>Vinhos, Destilados e Drinks Prontos</t>
        </is>
      </c>
      <c r="C38" s="23" t="inlineStr">
        <is>
          <t>Destilados</t>
        </is>
      </c>
      <c r="D38" s="23" t="inlineStr">
        <is>
          <t>Jack Daniel's</t>
        </is>
      </c>
      <c r="E38" s="10" t="n">
        <v>1</v>
      </c>
      <c r="F38" s="9" t="n">
        <v>183.49</v>
      </c>
      <c r="G38" s="24" t="n">
        <v>0.8747000316947641</v>
      </c>
    </row>
    <row r="39">
      <c r="A39" s="20" t="inlineStr">
        <is>
          <t>Vinho Tinto Uruguaio Reserva Tannat Garzon 750ml</t>
        </is>
      </c>
      <c r="B39" s="20" t="inlineStr">
        <is>
          <t>Vinhos, Destilados e Drinks Prontos</t>
        </is>
      </c>
      <c r="C39" s="20" t="inlineStr">
        <is>
          <t>Vinhos</t>
        </is>
      </c>
      <c r="D39" s="20" t="inlineStr">
        <is>
          <t>Garzón</t>
        </is>
      </c>
      <c r="E39" s="6" t="n">
        <v>1</v>
      </c>
      <c r="F39" s="5" t="n">
        <v>182.52</v>
      </c>
      <c r="G39" s="21" t="n">
        <v>0.8878177831345041</v>
      </c>
    </row>
    <row r="40">
      <c r="A40" s="23" t="inlineStr">
        <is>
          <t>Frango Resfriado Pça Sabor Caipira Kg</t>
        </is>
      </c>
      <c r="B40" s="23" t="inlineStr">
        <is>
          <t>Carnes, Aves e Peixes</t>
        </is>
      </c>
      <c r="C40" s="23" t="inlineStr">
        <is>
          <t>Aves</t>
        </is>
      </c>
      <c r="D40" s="23" t="inlineStr">
        <is>
          <t>Açougue</t>
        </is>
      </c>
      <c r="E40" s="10" t="n">
        <v>3</v>
      </c>
      <c r="F40" s="9" t="n">
        <v>178.71</v>
      </c>
      <c r="G40" s="24" t="n">
        <v>0.900661709059312</v>
      </c>
    </row>
    <row r="41">
      <c r="A41" s="20" t="inlineStr">
        <is>
          <t>Sabão Líquido Lavagem Perfeita Omo 3l</t>
        </is>
      </c>
      <c r="B41" s="20" t="inlineStr">
        <is>
          <t>Limpeza</t>
        </is>
      </c>
      <c r="C41" s="20" t="inlineStr">
        <is>
          <t>Roupas</t>
        </is>
      </c>
      <c r="D41" s="20" t="inlineStr">
        <is>
          <t>Omo</t>
        </is>
      </c>
      <c r="E41" s="6" t="n">
        <v>3</v>
      </c>
      <c r="F41" s="5" t="n">
        <v>177.87</v>
      </c>
      <c r="G41" s="21" t="n">
        <v>0.9134452640044499</v>
      </c>
    </row>
    <row r="42">
      <c r="A42" s="23" t="inlineStr">
        <is>
          <t>Creme de Leite Trevisan Tipo a 490g</t>
        </is>
      </c>
      <c r="B42" s="23" t="inlineStr">
        <is>
          <t>Frios e Laticínios</t>
        </is>
      </c>
      <c r="C42" s="23" t="inlineStr">
        <is>
          <t>Laticínios</t>
        </is>
      </c>
      <c r="D42" s="23" t="inlineStr">
        <is>
          <t>Trevisan</t>
        </is>
      </c>
      <c r="E42" s="10" t="n">
        <v>5</v>
      </c>
      <c r="F42" s="9" t="n">
        <v>177.65</v>
      </c>
      <c r="G42" s="24" t="n">
        <v>0.9262130075025313</v>
      </c>
    </row>
    <row r="43">
      <c r="A43" s="20" t="inlineStr">
        <is>
          <t>Camarão Santa Luzia Rosa Descascada Congelado a Embalagem 500g</t>
        </is>
      </c>
      <c r="B43" s="20" t="inlineStr">
        <is>
          <t>Carnes, Aves e Peixes</t>
        </is>
      </c>
      <c r="C43" s="20" t="inlineStr">
        <is>
          <t>Frutos Do Mar</t>
        </is>
      </c>
      <c r="D43" s="20" t="inlineStr">
        <is>
          <t>Santa Luzia</t>
        </is>
      </c>
      <c r="E43" s="6" t="n">
        <v>1</v>
      </c>
      <c r="F43" s="5" t="n">
        <v>172.69</v>
      </c>
      <c r="G43" s="21" t="n">
        <v>0.9386242747397038</v>
      </c>
    </row>
    <row r="44">
      <c r="A44" s="23" t="inlineStr">
        <is>
          <t>Papel Higiênico Neve Supreme Folha Tripla Leve 12 Pague 11 20m</t>
        </is>
      </c>
      <c r="B44" s="23" t="inlineStr">
        <is>
          <t>Higiene e Cuidados Pessoais</t>
        </is>
      </c>
      <c r="C44" s="23" t="inlineStr">
        <is>
          <t>Higiene</t>
        </is>
      </c>
      <c r="D44" s="23" t="inlineStr">
        <is>
          <t>Neve</t>
        </is>
      </c>
      <c r="E44" s="10" t="n">
        <v>6</v>
      </c>
      <c r="F44" s="9" t="n">
        <v>172.32</v>
      </c>
      <c r="G44" s="24" t="n">
        <v>0.9510089499977359</v>
      </c>
    </row>
    <row r="45">
      <c r="A45" s="20" t="inlineStr">
        <is>
          <t>Suco Festval Laranja 1,5L</t>
        </is>
      </c>
      <c r="B45" s="20" t="inlineStr">
        <is>
          <t>Bebidas</t>
        </is>
      </c>
      <c r="C45" s="20" t="inlineStr">
        <is>
          <t>Sucos</t>
        </is>
      </c>
      <c r="D45" s="20" t="inlineStr">
        <is>
          <t>Festval</t>
        </is>
      </c>
      <c r="E45" s="6" t="n">
        <v>8</v>
      </c>
      <c r="F45" s="5" t="n">
        <v>171.92</v>
      </c>
      <c r="G45" s="21" t="n">
        <v>0.9633648771702107</v>
      </c>
    </row>
    <row r="46">
      <c r="A46" s="23" t="inlineStr">
        <is>
          <t>Fanta Guaraná Zero 350ml</t>
        </is>
      </c>
      <c r="B46" s="23" t="inlineStr">
        <is>
          <t>Bebidas</t>
        </is>
      </c>
      <c r="C46" s="23" t="inlineStr">
        <is>
          <t>Refrigerantes</t>
        </is>
      </c>
      <c r="D46" s="23" t="inlineStr">
        <is>
          <t>Fanta</t>
        </is>
      </c>
      <c r="E46" s="10" t="n">
        <v>48</v>
      </c>
      <c r="F46" s="9" t="n">
        <v>171.84</v>
      </c>
      <c r="G46" s="24" t="n">
        <v>0.9757150547255742</v>
      </c>
    </row>
    <row r="47">
      <c r="A47" s="20" t="inlineStr">
        <is>
          <t>Ovo Caipira Ares Do Campo Iana 20un</t>
        </is>
      </c>
      <c r="B47" s="20" t="inlineStr">
        <is>
          <t>Feira</t>
        </is>
      </c>
      <c r="C47" s="20" t="inlineStr">
        <is>
          <t>Ovos</t>
        </is>
      </c>
      <c r="D47" s="20" t="inlineStr">
        <is>
          <t>Ares do Campo</t>
        </is>
      </c>
      <c r="E47" s="6" t="n">
        <v>7</v>
      </c>
      <c r="F47" s="5" t="n">
        <v>169.09</v>
      </c>
      <c r="G47" s="21" t="n">
        <v>0.987867589192732</v>
      </c>
    </row>
    <row r="48">
      <c r="A48" s="23" t="inlineStr">
        <is>
          <t>Refrigerante Coca-Cola Zero Açucar Garrafa 600ml</t>
        </is>
      </c>
      <c r="B48" s="23" t="inlineStr">
        <is>
          <t>Bebidas</t>
        </is>
      </c>
      <c r="C48" s="23" t="inlineStr">
        <is>
          <t>Refrigerantes</t>
        </is>
      </c>
      <c r="D48" s="23" t="inlineStr">
        <is>
          <t>Coca-Cola</t>
        </is>
      </c>
      <c r="E48" s="10" t="n">
        <v>27</v>
      </c>
      <c r="F48" s="9" t="n">
        <v>168.81</v>
      </c>
      <c r="G48" s="24" t="n">
        <v>0.9999999999999998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28" customWidth="1" min="3" max="3"/>
    <col width="40" customWidth="1" min="4" max="4"/>
  </cols>
  <sheetData>
    <row r="1" ht="33" customHeight="1">
      <c r="A1" s="19" t="inlineStr">
        <is>
          <t>FESTVAL — Alertas &amp; Destaques | 18/05–24/05</t>
        </is>
      </c>
    </row>
    <row r="2" ht="30" customHeight="1">
      <c r="A2" s="3" t="inlineStr">
        <is>
          <t>Tipo Alerta</t>
        </is>
      </c>
      <c r="B2" s="3" t="inlineStr">
        <is>
          <t>Loja</t>
        </is>
      </c>
      <c r="C2" s="3" t="inlineStr">
        <is>
          <t>Métrica</t>
        </is>
      </c>
      <c r="D2" s="3" t="inlineStr">
        <is>
          <t>Ação Recomendada</t>
        </is>
      </c>
    </row>
    <row r="3">
      <c r="A3" s="12" t="inlineStr">
        <is>
          <t>🔴 SLA Crítico</t>
        </is>
      </c>
      <c r="B3" s="20" t="inlineStr">
        <is>
          <t>Festval - Republica Argentina</t>
        </is>
      </c>
      <c r="C3" s="4" t="inlineStr">
        <is>
          <t>SLA=71.0%</t>
        </is>
      </c>
      <c r="D3" s="20" t="inlineStr">
        <is>
          <t>Verificar capacidade e tempo de entrega</t>
        </is>
      </c>
    </row>
    <row r="4">
      <c r="A4" s="30" t="inlineStr">
        <is>
          <t>🟠 Ruptura Pedidos Alta</t>
        </is>
      </c>
      <c r="B4" s="23" t="inlineStr">
        <is>
          <t>Festval - Av Brasil</t>
        </is>
      </c>
      <c r="C4" s="8" t="inlineStr">
        <is>
          <t>RuptPed=45.1%</t>
        </is>
      </c>
      <c r="D4" s="23" t="inlineStr">
        <is>
          <t>Revisar estoque e catálogo</t>
        </is>
      </c>
    </row>
    <row r="5">
      <c r="A5" s="12" t="inlineStr">
        <is>
          <t>🟠 Ruptura Pedidos Alta</t>
        </is>
      </c>
      <c r="B5" s="20" t="inlineStr">
        <is>
          <t>Festval - Faculdade</t>
        </is>
      </c>
      <c r="C5" s="4" t="inlineStr">
        <is>
          <t>RuptPed=45.1%</t>
        </is>
      </c>
      <c r="D5" s="20" t="inlineStr">
        <is>
          <t>Revisar estoque e catálogo</t>
        </is>
      </c>
    </row>
    <row r="6">
      <c r="A6" s="30" t="inlineStr">
        <is>
          <t>🟠 Ruptura Pedidos Alta</t>
        </is>
      </c>
      <c r="B6" s="23" t="inlineStr">
        <is>
          <t>Festval - Republica Argentina</t>
        </is>
      </c>
      <c r="C6" s="8" t="inlineStr">
        <is>
          <t>RuptPed=40.3%</t>
        </is>
      </c>
      <c r="D6" s="23" t="inlineStr">
        <is>
          <t>Revisar estoque e catálogo</t>
        </is>
      </c>
    </row>
    <row r="7">
      <c r="A7" s="12" t="inlineStr">
        <is>
          <t>🟠 Ruptura Pedidos Alta</t>
        </is>
      </c>
      <c r="B7" s="20" t="inlineStr">
        <is>
          <t>Festval - Tancredo Neves</t>
        </is>
      </c>
      <c r="C7" s="4" t="inlineStr">
        <is>
          <t>RuptPed=52.6%</t>
        </is>
      </c>
      <c r="D7" s="20" t="inlineStr">
        <is>
          <t>Revisar estoque e catálogo</t>
        </is>
      </c>
    </row>
    <row r="8">
      <c r="A8" s="30" t="inlineStr">
        <is>
          <t>🟠 Ruptura Pedidos Alta</t>
        </is>
      </c>
      <c r="B8" s="23" t="inlineStr">
        <is>
          <t>Festval Carlos Gomes</t>
        </is>
      </c>
      <c r="C8" s="8" t="inlineStr">
        <is>
          <t>RuptPed=47.8%</t>
        </is>
      </c>
      <c r="D8" s="23" t="inlineStr">
        <is>
          <t>Revisar estoque e catálogo</t>
        </is>
      </c>
    </row>
    <row r="9">
      <c r="A9" s="12" t="inlineStr">
        <is>
          <t>🟠 Ruptura Pedidos Alta</t>
        </is>
      </c>
      <c r="B9" s="20" t="inlineStr">
        <is>
          <t>Festval Cascavel - Centro</t>
        </is>
      </c>
      <c r="C9" s="4" t="inlineStr">
        <is>
          <t>RuptPed=53.1%</t>
        </is>
      </c>
      <c r="D9" s="20" t="inlineStr">
        <is>
          <t>Revisar estoque e catálogo</t>
        </is>
      </c>
    </row>
    <row r="10">
      <c r="A10" s="30" t="inlineStr">
        <is>
          <t>🚨 Score Alto</t>
        </is>
      </c>
      <c r="B10" s="23" t="inlineStr">
        <is>
          <t>Festval - Tancredo Neves</t>
        </is>
      </c>
      <c r="C10" s="8" t="inlineStr">
        <is>
          <t>Score=40.8</t>
        </is>
      </c>
      <c r="D10" s="23" t="inlineStr">
        <is>
          <t>Ação prioritária necessária</t>
        </is>
      </c>
    </row>
    <row r="11">
      <c r="A11" s="12" t="inlineStr">
        <is>
          <t>🚨 Score Alto</t>
        </is>
      </c>
      <c r="B11" s="20" t="inlineStr">
        <is>
          <t>Festval Cascavel - Centro</t>
        </is>
      </c>
      <c r="C11" s="4" t="inlineStr">
        <is>
          <t>Score=41.3</t>
        </is>
      </c>
      <c r="D11" s="20" t="inlineStr">
        <is>
          <t>Ação prioritária necessária</t>
        </is>
      </c>
    </row>
    <row r="12"/>
    <row r="13" ht="22" customHeight="1">
      <c r="A13" s="31" t="inlineStr">
        <is>
          <t>✅ DESTAQUES POSITIVOS</t>
        </is>
      </c>
    </row>
    <row r="14">
      <c r="A14" s="32" t="inlineStr">
        <is>
          <t>🏆 Melhor SLA: Festval - Parque Tingui (89.9%)</t>
        </is>
      </c>
    </row>
    <row r="15">
      <c r="A15" s="32" t="inlineStr">
        <is>
          <t>💰 Maior GMV: Festval - Republica Argentina (R$157,579)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0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0" customWidth="1" min="14" max="14"/>
    <col width="14" customWidth="1" min="15" max="15"/>
    <col width="14" customWidth="1" min="16" max="16"/>
    <col width="10" customWidth="1" min="17" max="17"/>
    <col width="14" customWidth="1" min="18" max="18"/>
    <col width="14" customWidth="1" min="19" max="19"/>
    <col width="10" customWidth="1" min="20" max="20"/>
    <col width="14" customWidth="1" min="21" max="21"/>
    <col width="14" customWidth="1" min="22" max="22"/>
    <col width="10" customWidth="1" min="23" max="23"/>
  </cols>
  <sheetData>
    <row r="1" ht="33" customHeight="1">
      <c r="A1" s="19" t="inlineStr">
        <is>
          <t>FESTVAL — GMV CAP vs FAT por Loja × Semana | 06/04 – 24/05/2026</t>
        </is>
      </c>
    </row>
    <row r="2" ht="16" customHeight="1">
      <c r="A2" s="2" t="inlineStr">
        <is>
          <t>GMV CAP = FAT + Cancelado + Rupturado | % = FAT÷CAP (eficiência)</t>
        </is>
      </c>
    </row>
    <row r="3" ht="30" customHeight="1">
      <c r="A3" s="3" t="inlineStr">
        <is>
          <t>Loja</t>
        </is>
      </c>
      <c r="B3" s="3" t="inlineStr">
        <is>
          <t>Cidade</t>
        </is>
      </c>
      <c r="C3" s="3" t="inlineStr">
        <is>
          <t>06/04–12/04</t>
        </is>
      </c>
      <c r="F3" s="3" t="inlineStr">
        <is>
          <t>13/04–19/04</t>
        </is>
      </c>
      <c r="I3" s="3" t="inlineStr">
        <is>
          <t>20/04–26/04</t>
        </is>
      </c>
      <c r="L3" s="3" t="inlineStr">
        <is>
          <t>27/04–03/05</t>
        </is>
      </c>
      <c r="O3" s="3" t="inlineStr">
        <is>
          <t>04/05–10/05</t>
        </is>
      </c>
      <c r="R3" s="3" t="inlineStr">
        <is>
          <t>11/05–17/05</t>
        </is>
      </c>
      <c r="U3" s="3" t="inlineStr">
        <is>
          <t>18/05–24/05</t>
        </is>
      </c>
    </row>
    <row r="4" ht="22" customHeight="1">
      <c r="A4" s="3" t="inlineStr">
        <is>
          <t>Loja</t>
        </is>
      </c>
      <c r="B4" s="3" t="inlineStr">
        <is>
          <t>Cidade</t>
        </is>
      </c>
      <c r="C4" s="3" t="inlineStr">
        <is>
          <t>FAT (R$)</t>
        </is>
      </c>
      <c r="D4" s="3" t="inlineStr">
        <is>
          <t>CAP (R$)</t>
        </is>
      </c>
      <c r="E4" s="3" t="inlineStr">
        <is>
          <t>CAP/FAT</t>
        </is>
      </c>
      <c r="F4" s="3" t="inlineStr">
        <is>
          <t>FAT (R$)</t>
        </is>
      </c>
      <c r="G4" s="3" t="inlineStr">
        <is>
          <t>CAP (R$)</t>
        </is>
      </c>
      <c r="H4" s="3" t="inlineStr">
        <is>
          <t>CAP/FAT</t>
        </is>
      </c>
      <c r="I4" s="3" t="inlineStr">
        <is>
          <t>FAT (R$)</t>
        </is>
      </c>
      <c r="J4" s="3" t="inlineStr">
        <is>
          <t>CAP (R$)</t>
        </is>
      </c>
      <c r="K4" s="3" t="inlineStr">
        <is>
          <t>CAP/FAT</t>
        </is>
      </c>
      <c r="L4" s="3" t="inlineStr">
        <is>
          <t>FAT (R$)</t>
        </is>
      </c>
      <c r="M4" s="3" t="inlineStr">
        <is>
          <t>CAP (R$)</t>
        </is>
      </c>
      <c r="N4" s="3" t="inlineStr">
        <is>
          <t>CAP/FAT</t>
        </is>
      </c>
      <c r="O4" s="3" t="inlineStr">
        <is>
          <t>FAT (R$)</t>
        </is>
      </c>
      <c r="P4" s="3" t="inlineStr">
        <is>
          <t>CAP (R$)</t>
        </is>
      </c>
      <c r="Q4" s="3" t="inlineStr">
        <is>
          <t>CAP/FAT</t>
        </is>
      </c>
      <c r="R4" s="3" t="inlineStr">
        <is>
          <t>FAT (R$)</t>
        </is>
      </c>
      <c r="S4" s="3" t="inlineStr">
        <is>
          <t>CAP (R$)</t>
        </is>
      </c>
      <c r="T4" s="3" t="inlineStr">
        <is>
          <t>CAP/FAT</t>
        </is>
      </c>
      <c r="U4" s="3" t="inlineStr">
        <is>
          <t>FAT (R$)</t>
        </is>
      </c>
      <c r="V4" s="3" t="inlineStr">
        <is>
          <t>CAP (R$)</t>
        </is>
      </c>
      <c r="W4" s="3" t="inlineStr">
        <is>
          <t>CAP/FAT</t>
        </is>
      </c>
    </row>
    <row r="5">
      <c r="A5" s="26" t="inlineStr">
        <is>
          <t>Festval - Av Brasil</t>
        </is>
      </c>
      <c r="B5" s="4" t="inlineStr">
        <is>
          <t>CASCAVEL</t>
        </is>
      </c>
      <c r="C5" s="5" t="n">
        <v>33529.16</v>
      </c>
      <c r="D5" s="5" t="n">
        <v>34096.17000000001</v>
      </c>
      <c r="E5" s="21" t="n">
        <v>0.9833702729661424</v>
      </c>
      <c r="F5" s="5" t="n">
        <v>34294.12</v>
      </c>
      <c r="G5" s="5" t="n">
        <v>35671.16</v>
      </c>
      <c r="H5" s="21" t="n">
        <v>0.9613962652181762</v>
      </c>
      <c r="I5" s="5" t="n">
        <v>30262.52</v>
      </c>
      <c r="J5" s="5" t="n">
        <v>30808.02</v>
      </c>
      <c r="K5" s="21" t="n">
        <v>0.9822935716089511</v>
      </c>
      <c r="L5" s="5" t="n">
        <v>29476.2</v>
      </c>
      <c r="M5" s="5" t="n">
        <v>31283.48</v>
      </c>
      <c r="N5" s="21" t="n">
        <v>0.942228933609688</v>
      </c>
      <c r="O5" s="5" t="n">
        <v>42350.38</v>
      </c>
      <c r="P5" s="5" t="n">
        <v>47162.00999999999</v>
      </c>
      <c r="Q5" s="21" t="n">
        <v>0.89797657054905</v>
      </c>
      <c r="R5" s="5" t="n">
        <v>29600.43</v>
      </c>
      <c r="S5" s="5" t="n">
        <v>31202.49</v>
      </c>
      <c r="T5" s="21" t="n">
        <v>0.9486560207214232</v>
      </c>
      <c r="U5" s="5" t="n">
        <v>30475.12</v>
      </c>
      <c r="V5" s="5" t="n">
        <v>33315.81</v>
      </c>
      <c r="W5" s="21" t="n">
        <v>0.9147344759139882</v>
      </c>
    </row>
    <row r="6">
      <c r="A6" s="28" t="inlineStr">
        <is>
          <t>Festval - Faculdade</t>
        </is>
      </c>
      <c r="B6" s="8" t="inlineStr">
        <is>
          <t>CASCAVEL</t>
        </is>
      </c>
      <c r="C6" s="9" t="n">
        <v>18039.42</v>
      </c>
      <c r="D6" s="9" t="n">
        <v>18448.72</v>
      </c>
      <c r="E6" s="24" t="n">
        <v>0.9778141789782706</v>
      </c>
      <c r="F6" s="9" t="n">
        <v>13732.36</v>
      </c>
      <c r="G6" s="9" t="n">
        <v>14888.41999999999</v>
      </c>
      <c r="H6" s="24" t="n">
        <v>0.9223517337635558</v>
      </c>
      <c r="I6" s="9" t="n">
        <v>13503.29</v>
      </c>
      <c r="J6" s="9" t="n">
        <v>15200.77</v>
      </c>
      <c r="K6" s="24" t="n">
        <v>0.8883293412110045</v>
      </c>
      <c r="L6" s="9" t="n">
        <v>12058.87</v>
      </c>
      <c r="M6" s="9" t="n">
        <v>12058.87</v>
      </c>
      <c r="N6" s="24" t="n">
        <v>1</v>
      </c>
      <c r="O6" s="9" t="n">
        <v>16480.14</v>
      </c>
      <c r="P6" s="9" t="n">
        <v>16788.65</v>
      </c>
      <c r="Q6" s="24" t="n">
        <v>0.9816238947145841</v>
      </c>
      <c r="R6" s="9" t="n">
        <v>13624.66</v>
      </c>
      <c r="S6" s="9" t="n">
        <v>13727.33</v>
      </c>
      <c r="T6" s="24" t="n">
        <v>0.9925207596815987</v>
      </c>
      <c r="U6" s="9" t="n">
        <v>15802.83</v>
      </c>
      <c r="V6" s="9" t="n">
        <v>16896.18</v>
      </c>
      <c r="W6" s="24" t="n">
        <v>0.9352901069945987</v>
      </c>
    </row>
    <row r="7">
      <c r="A7" s="20" t="inlineStr">
        <is>
          <t>Festval - Parque Tingui</t>
        </is>
      </c>
      <c r="B7" s="4" t="inlineStr">
        <is>
          <t>CURITIBA</t>
        </is>
      </c>
      <c r="C7" s="5" t="n">
        <v>57527.97</v>
      </c>
      <c r="D7" s="5" t="n">
        <v>59540.24</v>
      </c>
      <c r="E7" s="21" t="n">
        <v>0.9662031930002298</v>
      </c>
      <c r="F7" s="5" t="n">
        <v>52314.59000000001</v>
      </c>
      <c r="G7" s="5" t="n">
        <v>54330.40000000001</v>
      </c>
      <c r="H7" s="21" t="n">
        <v>0.9628971993580022</v>
      </c>
      <c r="I7" s="5" t="n">
        <v>54911.36000000001</v>
      </c>
      <c r="J7" s="5" t="n">
        <v>56313.33000000001</v>
      </c>
      <c r="K7" s="21" t="n">
        <v>0.9751041183321959</v>
      </c>
      <c r="L7" s="5" t="n">
        <v>56027.24000000001</v>
      </c>
      <c r="M7" s="5" t="n">
        <v>57000.97000000001</v>
      </c>
      <c r="N7" s="21" t="n">
        <v>0.9829173082493157</v>
      </c>
      <c r="O7" s="5" t="n">
        <v>69343.65999999999</v>
      </c>
      <c r="P7" s="5" t="n">
        <v>71596.03999999999</v>
      </c>
      <c r="Q7" s="21" t="n">
        <v>0.9685404388287396</v>
      </c>
      <c r="R7" s="5" t="n">
        <v>59254.59</v>
      </c>
      <c r="S7" s="5" t="n">
        <v>69216.31999999999</v>
      </c>
      <c r="T7" s="21" t="n">
        <v>0.8560783063878578</v>
      </c>
      <c r="U7" s="5" t="n">
        <v>73191.42</v>
      </c>
      <c r="V7" s="5" t="n">
        <v>82606.56</v>
      </c>
      <c r="W7" s="21" t="n">
        <v>0.8860243060599545</v>
      </c>
    </row>
    <row r="8">
      <c r="A8" s="23" t="inlineStr">
        <is>
          <t>Festval - Pinhais</t>
        </is>
      </c>
      <c r="B8" s="8" t="inlineStr">
        <is>
          <t>PINHAIS</t>
        </is>
      </c>
      <c r="C8" s="9" t="n">
        <v>20496.74</v>
      </c>
      <c r="D8" s="9" t="n">
        <v>21074.37</v>
      </c>
      <c r="E8" s="24" t="n">
        <v>0.9725908769752073</v>
      </c>
      <c r="F8" s="9" t="n">
        <v>23963.8</v>
      </c>
      <c r="G8" s="9" t="n">
        <v>24436.84</v>
      </c>
      <c r="H8" s="24" t="n">
        <v>0.980642341644828</v>
      </c>
      <c r="I8" s="9" t="n">
        <v>22178.07</v>
      </c>
      <c r="J8" s="9" t="n">
        <v>22540.58</v>
      </c>
      <c r="K8" s="24" t="n">
        <v>0.9839174502164542</v>
      </c>
      <c r="L8" s="9" t="n">
        <v>26594.9</v>
      </c>
      <c r="M8" s="9" t="n">
        <v>27889.68</v>
      </c>
      <c r="N8" s="24" t="n">
        <v>0.9535749424159762</v>
      </c>
      <c r="O8" s="9" t="n">
        <v>27472.73</v>
      </c>
      <c r="P8" s="9" t="n">
        <v>30240.88</v>
      </c>
      <c r="Q8" s="24" t="n">
        <v>0.9084633119142035</v>
      </c>
      <c r="R8" s="9" t="n">
        <v>30339.97</v>
      </c>
      <c r="S8" s="9" t="n">
        <v>36242.85</v>
      </c>
      <c r="T8" s="24" t="n">
        <v>0.8371298062928274</v>
      </c>
      <c r="U8" s="9" t="n">
        <v>28595.94</v>
      </c>
      <c r="V8" s="9" t="n">
        <v>33340.25</v>
      </c>
      <c r="W8" s="24" t="n">
        <v>0.8577002272028553</v>
      </c>
    </row>
    <row r="9">
      <c r="A9" s="20" t="inlineStr">
        <is>
          <t>Festval - Republica Argentina</t>
        </is>
      </c>
      <c r="B9" s="4" t="inlineStr">
        <is>
          <t>CURITIBA</t>
        </is>
      </c>
      <c r="C9" s="5" t="n">
        <v>160429.02</v>
      </c>
      <c r="D9" s="5" t="n">
        <v>170902.91</v>
      </c>
      <c r="E9" s="21" t="n">
        <v>0.9387143846760714</v>
      </c>
      <c r="F9" s="5" t="n">
        <v>162130.94</v>
      </c>
      <c r="G9" s="5" t="n">
        <v>167485.58</v>
      </c>
      <c r="H9" s="21" t="n">
        <v>0.9680292476522455</v>
      </c>
      <c r="I9" s="5" t="n">
        <v>152490.43</v>
      </c>
      <c r="J9" s="5" t="n">
        <v>156945.78</v>
      </c>
      <c r="K9" s="21" t="n">
        <v>0.9716121707764299</v>
      </c>
      <c r="L9" s="5" t="n">
        <v>153727.67</v>
      </c>
      <c r="M9" s="5" t="n">
        <v>177261.1</v>
      </c>
      <c r="N9" s="21" t="n">
        <v>0.8672386101631999</v>
      </c>
      <c r="O9" s="5" t="n">
        <v>156589.3</v>
      </c>
      <c r="P9" s="5" t="n">
        <v>181620.62</v>
      </c>
      <c r="Q9" s="21" t="n">
        <v>0.862177983975608</v>
      </c>
      <c r="R9" s="5" t="n">
        <v>168777.9400000001</v>
      </c>
      <c r="S9" s="5" t="n">
        <v>192972.2300000001</v>
      </c>
      <c r="T9" s="21" t="n">
        <v>0.8746229444516447</v>
      </c>
      <c r="U9" s="5" t="n">
        <v>157579.3</v>
      </c>
      <c r="V9" s="5" t="n">
        <v>182430.85</v>
      </c>
      <c r="W9" s="21" t="n">
        <v>0.8637755072675481</v>
      </c>
    </row>
    <row r="10">
      <c r="A10" s="23" t="inlineStr">
        <is>
          <t>Festval - São José dos pinhais</t>
        </is>
      </c>
      <c r="B10" s="8" t="inlineStr">
        <is>
          <t>SAO JOSE DOS PINHAIS</t>
        </is>
      </c>
      <c r="C10" s="9" t="n">
        <v>51841.24999999999</v>
      </c>
      <c r="D10" s="9" t="n">
        <v>53348.31999999999</v>
      </c>
      <c r="E10" s="24" t="n">
        <v>0.9717503756444439</v>
      </c>
      <c r="F10" s="9" t="n">
        <v>46279</v>
      </c>
      <c r="G10" s="9" t="n">
        <v>48859.63</v>
      </c>
      <c r="H10" s="24" t="n">
        <v>0.9471827764557366</v>
      </c>
      <c r="I10" s="9" t="n">
        <v>47278.49000000001</v>
      </c>
      <c r="J10" s="9" t="n">
        <v>49504.75000000001</v>
      </c>
      <c r="K10" s="24" t="n">
        <v>0.9550293658689317</v>
      </c>
      <c r="L10" s="9" t="n">
        <v>49789.91</v>
      </c>
      <c r="M10" s="9" t="n">
        <v>51056.54</v>
      </c>
      <c r="N10" s="24" t="n">
        <v>0.9751916208971466</v>
      </c>
      <c r="O10" s="9" t="n">
        <v>54325.77</v>
      </c>
      <c r="P10" s="9" t="n">
        <v>56964.81</v>
      </c>
      <c r="Q10" s="24" t="n">
        <v>0.9536724514660894</v>
      </c>
      <c r="R10" s="9" t="n">
        <v>49317.39000000001</v>
      </c>
      <c r="S10" s="9" t="n">
        <v>54681.85000000001</v>
      </c>
      <c r="T10" s="24" t="n">
        <v>0.9018968816892624</v>
      </c>
      <c r="U10" s="9" t="n">
        <v>49171.77</v>
      </c>
      <c r="V10" s="9" t="n">
        <v>54205.57999999999</v>
      </c>
      <c r="W10" s="24" t="n">
        <v>0.907134837409728</v>
      </c>
    </row>
    <row r="11">
      <c r="A11" s="20" t="inlineStr">
        <is>
          <t>Festval - São Lourenço</t>
        </is>
      </c>
      <c r="B11" s="4" t="inlineStr">
        <is>
          <t>CURITIBA</t>
        </is>
      </c>
      <c r="C11" s="5" t="n">
        <v>61914.68</v>
      </c>
      <c r="D11" s="5" t="n">
        <v>64057.75</v>
      </c>
      <c r="E11" s="21" t="n">
        <v>0.9665447194133419</v>
      </c>
      <c r="F11" s="5" t="n">
        <v>52171.67000000001</v>
      </c>
      <c r="G11" s="5" t="n">
        <v>53233.59</v>
      </c>
      <c r="H11" s="21" t="n">
        <v>0.9800516929254631</v>
      </c>
      <c r="I11" s="5" t="n">
        <v>60874.60000000001</v>
      </c>
      <c r="J11" s="5" t="n">
        <v>62637.39000000001</v>
      </c>
      <c r="K11" s="21" t="n">
        <v>0.971857224574651</v>
      </c>
      <c r="L11" s="5" t="n">
        <v>63705.89</v>
      </c>
      <c r="M11" s="5" t="n">
        <v>67732.84</v>
      </c>
      <c r="N11" s="21" t="n">
        <v>0.9405465650045089</v>
      </c>
      <c r="O11" s="5" t="n">
        <v>76073.88</v>
      </c>
      <c r="P11" s="5" t="n">
        <v>85520.37</v>
      </c>
      <c r="Q11" s="21" t="n">
        <v>0.889541053201711</v>
      </c>
      <c r="R11" s="5" t="n">
        <v>78313.34000000001</v>
      </c>
      <c r="S11" s="5" t="n">
        <v>86379.19000000002</v>
      </c>
      <c r="T11" s="21" t="n">
        <v>0.9066227641171444</v>
      </c>
      <c r="U11" s="5" t="n">
        <v>82196.99000000002</v>
      </c>
      <c r="V11" s="5" t="n">
        <v>91144.81000000003</v>
      </c>
      <c r="W11" s="21" t="n">
        <v>0.9018285297868304</v>
      </c>
    </row>
    <row r="12">
      <c r="A12" s="28" t="inlineStr">
        <is>
          <t>Festval - Tancredo Neves</t>
        </is>
      </c>
      <c r="B12" s="8" t="inlineStr">
        <is>
          <t>CASCAVEL</t>
        </is>
      </c>
      <c r="C12" s="9" t="n">
        <v>19942.32</v>
      </c>
      <c r="D12" s="9" t="n">
        <v>21062.73</v>
      </c>
      <c r="E12" s="24" t="n">
        <v>0.9468060408123733</v>
      </c>
      <c r="F12" s="9" t="n">
        <v>15100.54</v>
      </c>
      <c r="G12" s="9" t="n">
        <v>15732.9</v>
      </c>
      <c r="H12" s="24" t="n">
        <v>0.9598065200948331</v>
      </c>
      <c r="I12" s="9" t="n">
        <v>21763.25</v>
      </c>
      <c r="J12" s="9" t="n">
        <v>22269.1</v>
      </c>
      <c r="K12" s="24" t="n">
        <v>0.9772846679928691</v>
      </c>
      <c r="L12" s="9" t="n">
        <v>24186.21</v>
      </c>
      <c r="M12" s="9" t="n">
        <v>26595.43</v>
      </c>
      <c r="N12" s="24" t="n">
        <v>0.9094122561658149</v>
      </c>
      <c r="O12" s="9" t="n">
        <v>27975.48</v>
      </c>
      <c r="P12" s="9" t="n">
        <v>28889.09</v>
      </c>
      <c r="Q12" s="24" t="n">
        <v>0.9683752586183919</v>
      </c>
      <c r="R12" s="9" t="n">
        <v>24361.81</v>
      </c>
      <c r="S12" s="9" t="n">
        <v>25169.55</v>
      </c>
      <c r="T12" s="24" t="n">
        <v>0.9679080476210341</v>
      </c>
      <c r="U12" s="9" t="n">
        <v>20646.99</v>
      </c>
      <c r="V12" s="9" t="n">
        <v>23587.1</v>
      </c>
      <c r="W12" s="24" t="n">
        <v>0.8753509333491611</v>
      </c>
    </row>
    <row r="13">
      <c r="A13" s="26" t="inlineStr">
        <is>
          <t>Festval Carlos Gomes</t>
        </is>
      </c>
      <c r="B13" s="4" t="inlineStr">
        <is>
          <t>CASCAVEL</t>
        </is>
      </c>
      <c r="C13" s="5" t="n">
        <v>8149.65</v>
      </c>
      <c r="D13" s="5" t="n">
        <v>8658.779999999999</v>
      </c>
      <c r="E13" s="21" t="n">
        <v>0.9412007234275499</v>
      </c>
      <c r="F13" s="5" t="n">
        <v>9700.690000000001</v>
      </c>
      <c r="G13" s="5" t="n">
        <v>9700.690000000001</v>
      </c>
      <c r="H13" s="21" t="n">
        <v>1</v>
      </c>
      <c r="I13" s="5" t="n">
        <v>7253.499999999999</v>
      </c>
      <c r="J13" s="5" t="n">
        <v>7825.419999999999</v>
      </c>
      <c r="K13" s="21" t="n">
        <v>0.92691510487616</v>
      </c>
      <c r="L13" s="5" t="n">
        <v>12253.14</v>
      </c>
      <c r="M13" s="5" t="n">
        <v>12464.12</v>
      </c>
      <c r="N13" s="21" t="n">
        <v>0.9830730127758719</v>
      </c>
      <c r="O13" s="5" t="n">
        <v>13306.68</v>
      </c>
      <c r="P13" s="5" t="n">
        <v>13901.42</v>
      </c>
      <c r="Q13" s="21" t="n">
        <v>0.9572173202449822</v>
      </c>
      <c r="R13" s="5" t="n">
        <v>11127.81</v>
      </c>
      <c r="S13" s="5" t="n">
        <v>11802.18</v>
      </c>
      <c r="T13" s="21" t="n">
        <v>0.9428605562701128</v>
      </c>
      <c r="U13" s="5" t="n">
        <v>12262.37</v>
      </c>
      <c r="V13" s="5" t="n">
        <v>13186.54</v>
      </c>
      <c r="W13" s="21" t="n">
        <v>0.9299156564193488</v>
      </c>
    </row>
    <row r="14">
      <c r="A14" s="28" t="inlineStr">
        <is>
          <t>Festval Cascavel - Centro</t>
        </is>
      </c>
      <c r="B14" s="8" t="inlineStr">
        <is>
          <t>CASCAVEL</t>
        </is>
      </c>
      <c r="C14" s="9" t="n">
        <v>53336.01</v>
      </c>
      <c r="D14" s="9" t="n">
        <v>54735.78</v>
      </c>
      <c r="E14" s="24" t="n">
        <v>0.9744267826273784</v>
      </c>
      <c r="F14" s="9" t="n">
        <v>51229.11</v>
      </c>
      <c r="G14" s="9" t="n">
        <v>52194.6</v>
      </c>
      <c r="H14" s="24" t="n">
        <v>0.9815021094136175</v>
      </c>
      <c r="I14" s="9" t="n">
        <v>47147.06</v>
      </c>
      <c r="J14" s="9" t="n">
        <v>47383.28000000001</v>
      </c>
      <c r="K14" s="24" t="n">
        <v>0.9950146971674396</v>
      </c>
      <c r="L14" s="9" t="n">
        <v>47959.31</v>
      </c>
      <c r="M14" s="9" t="n">
        <v>49491.8</v>
      </c>
      <c r="N14" s="24" t="n">
        <v>0.9690354765839998</v>
      </c>
      <c r="O14" s="9" t="n">
        <v>51331.59000000001</v>
      </c>
      <c r="P14" s="9" t="n">
        <v>53135.01000000001</v>
      </c>
      <c r="Q14" s="24" t="n">
        <v>0.9660596657458049</v>
      </c>
      <c r="R14" s="9" t="n">
        <v>54988.60999999999</v>
      </c>
      <c r="S14" s="9" t="n">
        <v>56495.28999999999</v>
      </c>
      <c r="T14" s="24" t="n">
        <v>0.9733308741312772</v>
      </c>
      <c r="U14" s="9" t="n">
        <v>46468.02</v>
      </c>
      <c r="V14" s="9" t="n">
        <v>51932.24</v>
      </c>
      <c r="W14" s="24" t="n">
        <v>0.8947817386656151</v>
      </c>
    </row>
    <row r="15">
      <c r="A15" s="16" t="inlineStr">
        <is>
          <t>TOTAL</t>
        </is>
      </c>
      <c r="B15" s="33" t="inlineStr"/>
      <c r="C15" s="17" t="n">
        <v>485206.2200000001</v>
      </c>
      <c r="D15" s="17" t="n">
        <v>505925.77</v>
      </c>
      <c r="E15" s="34" t="n">
        <v>0.9590462648305107</v>
      </c>
      <c r="F15" s="17" t="n">
        <v>460916.8199999999</v>
      </c>
      <c r="G15" s="17" t="n">
        <v>476533.81</v>
      </c>
      <c r="H15" s="34" t="n">
        <v>0.9672279496810519</v>
      </c>
      <c r="I15" s="17" t="n">
        <v>457662.57</v>
      </c>
      <c r="J15" s="17" t="n">
        <v>471428.42</v>
      </c>
      <c r="K15" s="34" t="n">
        <v>0.9707997027417227</v>
      </c>
      <c r="L15" s="17" t="n">
        <v>475779.34</v>
      </c>
      <c r="M15" s="17" t="n">
        <v>512834.83</v>
      </c>
      <c r="N15" s="34" t="n">
        <v>0.9277438117843908</v>
      </c>
      <c r="O15" s="17" t="n">
        <v>535249.61</v>
      </c>
      <c r="P15" s="17" t="n">
        <v>585818.9</v>
      </c>
      <c r="Q15" s="34" t="n">
        <v>0.913677605826647</v>
      </c>
      <c r="R15" s="17" t="n">
        <v>519706.5500000001</v>
      </c>
      <c r="S15" s="17" t="n">
        <v>577889.28</v>
      </c>
      <c r="T15" s="34" t="n">
        <v>0.8993185511245338</v>
      </c>
      <c r="U15" s="17" t="n">
        <v>516390.75</v>
      </c>
      <c r="V15" s="17" t="n">
        <v>582645.9199999999</v>
      </c>
      <c r="W15" s="34" t="n">
        <v>0.8862857050470723</v>
      </c>
    </row>
  </sheetData>
  <mergeCells count="9">
    <mergeCell ref="A1:W1"/>
    <mergeCell ref="R3:T3"/>
    <mergeCell ref="U3:W3"/>
    <mergeCell ref="C3:E3"/>
    <mergeCell ref="F3:H3"/>
    <mergeCell ref="I3:K3"/>
    <mergeCell ref="A2:W2"/>
    <mergeCell ref="L3:N3"/>
    <mergeCell ref="O3:Q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 ht="33" customHeight="1">
      <c r="A1" s="19" t="inlineStr">
        <is>
          <t>FESTVAL — Métricas Operacionais por Loja × Semana | 06/04 – 24/05/2026</t>
        </is>
      </c>
    </row>
    <row r="2" ht="22" customHeight="1">
      <c r="A2" s="3" t="inlineStr">
        <is>
          <t>Loja</t>
        </is>
      </c>
      <c r="B2" s="3" t="inlineStr">
        <is>
          <t>Cidade</t>
        </is>
      </c>
      <c r="C2" s="3" t="inlineStr">
        <is>
          <t>06/04–12/04</t>
        </is>
      </c>
      <c r="G2" s="3" t="inlineStr">
        <is>
          <t>13/04–19/04</t>
        </is>
      </c>
      <c r="K2" s="3" t="inlineStr">
        <is>
          <t>20/04–26/04</t>
        </is>
      </c>
      <c r="O2" s="3" t="inlineStr">
        <is>
          <t>27/04–03/05</t>
        </is>
      </c>
      <c r="S2" s="3" t="inlineStr">
        <is>
          <t>04/05–10/05</t>
        </is>
      </c>
      <c r="W2" s="3" t="inlineStr">
        <is>
          <t>11/05–17/05</t>
        </is>
      </c>
      <c r="AA2" s="3" t="inlineStr">
        <is>
          <t>18/05–24/05</t>
        </is>
      </c>
    </row>
    <row r="3" ht="22" customHeight="1">
      <c r="A3" s="3" t="inlineStr">
        <is>
          <t>Loja</t>
        </is>
      </c>
      <c r="B3" s="3" t="inlineStr">
        <is>
          <t>Cidade</t>
        </is>
      </c>
      <c r="C3" s="3" t="inlineStr">
        <is>
          <t>SLA (%)</t>
        </is>
      </c>
      <c r="D3" s="3" t="inlineStr">
        <is>
          <t>NSU (%)</t>
        </is>
      </c>
      <c r="E3" s="3" t="inlineStr">
        <is>
          <t>RuptPed (%)</t>
        </is>
      </c>
      <c r="F3" s="3" t="inlineStr">
        <is>
          <t>Score</t>
        </is>
      </c>
      <c r="G3" s="3" t="inlineStr">
        <is>
          <t>SLA (%)</t>
        </is>
      </c>
      <c r="H3" s="3" t="inlineStr">
        <is>
          <t>NSU (%)</t>
        </is>
      </c>
      <c r="I3" s="3" t="inlineStr">
        <is>
          <t>RuptPed (%)</t>
        </is>
      </c>
      <c r="J3" s="3" t="inlineStr">
        <is>
          <t>Score</t>
        </is>
      </c>
      <c r="K3" s="3" t="inlineStr">
        <is>
          <t>SLA (%)</t>
        </is>
      </c>
      <c r="L3" s="3" t="inlineStr">
        <is>
          <t>NSU (%)</t>
        </is>
      </c>
      <c r="M3" s="3" t="inlineStr">
        <is>
          <t>RuptPed (%)</t>
        </is>
      </c>
      <c r="N3" s="3" t="inlineStr">
        <is>
          <t>Score</t>
        </is>
      </c>
      <c r="O3" s="3" t="inlineStr">
        <is>
          <t>SLA (%)</t>
        </is>
      </c>
      <c r="P3" s="3" t="inlineStr">
        <is>
          <t>NSU (%)</t>
        </is>
      </c>
      <c r="Q3" s="3" t="inlineStr">
        <is>
          <t>RuptPed (%)</t>
        </is>
      </c>
      <c r="R3" s="3" t="inlineStr">
        <is>
          <t>Score</t>
        </is>
      </c>
      <c r="S3" s="3" t="inlineStr">
        <is>
          <t>SLA (%)</t>
        </is>
      </c>
      <c r="T3" s="3" t="inlineStr">
        <is>
          <t>NSU (%)</t>
        </is>
      </c>
      <c r="U3" s="3" t="inlineStr">
        <is>
          <t>RuptPed (%)</t>
        </is>
      </c>
      <c r="V3" s="3" t="inlineStr">
        <is>
          <t>Score</t>
        </is>
      </c>
      <c r="W3" s="3" t="inlineStr">
        <is>
          <t>SLA (%)</t>
        </is>
      </c>
      <c r="X3" s="3" t="inlineStr">
        <is>
          <t>NSU (%)</t>
        </is>
      </c>
      <c r="Y3" s="3" t="inlineStr">
        <is>
          <t>RuptPed (%)</t>
        </is>
      </c>
      <c r="Z3" s="3" t="inlineStr">
        <is>
          <t>Score</t>
        </is>
      </c>
      <c r="AA3" s="3" t="inlineStr">
        <is>
          <t>SLA (%)</t>
        </is>
      </c>
      <c r="AB3" s="3" t="inlineStr">
        <is>
          <t>NSU (%)</t>
        </is>
      </c>
      <c r="AC3" s="3" t="inlineStr">
        <is>
          <t>RuptPed (%)</t>
        </is>
      </c>
      <c r="AD3" s="3" t="inlineStr">
        <is>
          <t>Score</t>
        </is>
      </c>
    </row>
    <row r="4">
      <c r="A4" s="26" t="inlineStr">
        <is>
          <t>Festval - Av Brasil</t>
        </is>
      </c>
      <c r="B4" s="4" t="inlineStr">
        <is>
          <t>CASCAVEL</t>
        </is>
      </c>
      <c r="C4" s="27" t="inlineStr">
        <is>
          <t>N/A</t>
        </is>
      </c>
      <c r="D4" s="35" t="n">
        <v>0</v>
      </c>
      <c r="E4" s="35" t="n">
        <v>52.8</v>
      </c>
      <c r="F4" s="22" t="n">
        <v>41</v>
      </c>
      <c r="G4" s="27" t="inlineStr">
        <is>
          <t>N/A</t>
        </is>
      </c>
      <c r="H4" s="35" t="n">
        <v>0</v>
      </c>
      <c r="I4" s="35" t="n">
        <v>41.94</v>
      </c>
      <c r="J4" s="22" t="n">
        <v>27.4</v>
      </c>
      <c r="K4" s="27" t="inlineStr">
        <is>
          <t>N/A</t>
        </is>
      </c>
      <c r="L4" s="35" t="n">
        <v>0</v>
      </c>
      <c r="M4" s="35" t="n">
        <v>52.99</v>
      </c>
      <c r="N4" s="22" t="n">
        <v>41.2</v>
      </c>
      <c r="O4" s="27" t="inlineStr">
        <is>
          <t>N/A</t>
        </is>
      </c>
      <c r="P4" s="35" t="n">
        <v>0</v>
      </c>
      <c r="Q4" s="35" t="n">
        <v>62.12</v>
      </c>
      <c r="R4" s="22" t="n">
        <v>52.6</v>
      </c>
      <c r="S4" s="27" t="inlineStr">
        <is>
          <t>N/A</t>
        </is>
      </c>
      <c r="T4" s="35" t="n">
        <v>0</v>
      </c>
      <c r="U4" s="35" t="n">
        <v>56.48</v>
      </c>
      <c r="V4" s="22" t="n">
        <v>45.6</v>
      </c>
      <c r="W4" s="27" t="inlineStr">
        <is>
          <t>N/A</t>
        </is>
      </c>
      <c r="X4" s="35" t="n">
        <v>0</v>
      </c>
      <c r="Y4" s="35" t="n">
        <v>62.07</v>
      </c>
      <c r="Z4" s="22" t="n">
        <v>52.6</v>
      </c>
      <c r="AA4" s="27" t="inlineStr">
        <is>
          <t>N/A</t>
        </is>
      </c>
      <c r="AB4" s="35" t="n">
        <v>0</v>
      </c>
      <c r="AC4" s="35" t="n">
        <v>45.07</v>
      </c>
      <c r="AD4" s="22" t="n">
        <v>31.3</v>
      </c>
    </row>
    <row r="5">
      <c r="A5" s="28" t="inlineStr">
        <is>
          <t>Festval - Faculdade</t>
        </is>
      </c>
      <c r="B5" s="8" t="inlineStr">
        <is>
          <t>CASCAVEL</t>
        </is>
      </c>
      <c r="C5" s="27" t="inlineStr">
        <is>
          <t>N/A</t>
        </is>
      </c>
      <c r="D5" s="36" t="n">
        <v>0</v>
      </c>
      <c r="E5" s="36" t="n">
        <v>44.12</v>
      </c>
      <c r="F5" s="25" t="n">
        <v>30.1</v>
      </c>
      <c r="G5" s="27" t="inlineStr">
        <is>
          <t>N/A</t>
        </is>
      </c>
      <c r="H5" s="36" t="n">
        <v>0</v>
      </c>
      <c r="I5" s="36" t="n">
        <v>44.05</v>
      </c>
      <c r="J5" s="25" t="n">
        <v>30.1</v>
      </c>
      <c r="K5" s="27" t="inlineStr">
        <is>
          <t>N/A</t>
        </is>
      </c>
      <c r="L5" s="36" t="n">
        <v>0</v>
      </c>
      <c r="M5" s="36" t="n">
        <v>41.98</v>
      </c>
      <c r="N5" s="25" t="n">
        <v>27.5</v>
      </c>
      <c r="O5" s="27" t="inlineStr">
        <is>
          <t>N/A</t>
        </is>
      </c>
      <c r="P5" s="36" t="n">
        <v>0</v>
      </c>
      <c r="Q5" s="36" t="n">
        <v>40.26</v>
      </c>
      <c r="R5" s="25" t="n">
        <v>25.3</v>
      </c>
      <c r="S5" s="27" t="inlineStr">
        <is>
          <t>N/A</t>
        </is>
      </c>
      <c r="T5" s="36" t="n">
        <v>0</v>
      </c>
      <c r="U5" s="36" t="n">
        <v>43.93</v>
      </c>
      <c r="V5" s="25" t="n">
        <v>29.9</v>
      </c>
      <c r="W5" s="27" t="inlineStr">
        <is>
          <t>N/A</t>
        </is>
      </c>
      <c r="X5" s="36" t="n">
        <v>0</v>
      </c>
      <c r="Y5" s="36" t="n">
        <v>40.96</v>
      </c>
      <c r="Z5" s="25" t="n">
        <v>26.2</v>
      </c>
      <c r="AA5" s="27" t="inlineStr">
        <is>
          <t>N/A</t>
        </is>
      </c>
      <c r="AB5" s="36" t="n">
        <v>0</v>
      </c>
      <c r="AC5" s="36" t="n">
        <v>45.1</v>
      </c>
      <c r="AD5" s="25" t="n">
        <v>31.4</v>
      </c>
    </row>
    <row r="6">
      <c r="A6" s="20" t="inlineStr">
        <is>
          <t>Festval - Parque Tingui</t>
        </is>
      </c>
      <c r="B6" s="4" t="inlineStr">
        <is>
          <t>CURITIBA</t>
        </is>
      </c>
      <c r="C6" s="35" t="n">
        <v>0</v>
      </c>
      <c r="D6" s="35" t="n">
        <v>0</v>
      </c>
      <c r="E6" s="35" t="n">
        <v>62.13</v>
      </c>
      <c r="F6" s="22" t="n">
        <v>77.7</v>
      </c>
      <c r="G6" s="35" t="n">
        <v>0</v>
      </c>
      <c r="H6" s="35" t="n">
        <v>0</v>
      </c>
      <c r="I6" s="35" t="n">
        <v>53.82</v>
      </c>
      <c r="J6" s="22" t="n">
        <v>67.3</v>
      </c>
      <c r="K6" s="35" t="n">
        <v>0</v>
      </c>
      <c r="L6" s="35" t="n">
        <v>0</v>
      </c>
      <c r="M6" s="35" t="n">
        <v>51.95</v>
      </c>
      <c r="N6" s="22" t="n">
        <v>64.90000000000001</v>
      </c>
      <c r="O6" s="35" t="n">
        <v>90.23999999999999</v>
      </c>
      <c r="P6" s="35" t="n">
        <v>0</v>
      </c>
      <c r="Q6" s="35" t="n">
        <v>49.84</v>
      </c>
      <c r="R6" s="22" t="n">
        <v>37.3</v>
      </c>
      <c r="S6" s="35" t="n">
        <v>83.94</v>
      </c>
      <c r="T6" s="35" t="n">
        <v>2.19</v>
      </c>
      <c r="U6" s="35" t="n">
        <v>51.34</v>
      </c>
      <c r="V6" s="22" t="n">
        <v>39.2</v>
      </c>
      <c r="W6" s="35" t="n">
        <v>87.16</v>
      </c>
      <c r="X6" s="35" t="n">
        <v>0</v>
      </c>
      <c r="Y6" s="35" t="n">
        <v>46.27</v>
      </c>
      <c r="Z6" s="22" t="n">
        <v>32.8</v>
      </c>
      <c r="AA6" s="35" t="n">
        <v>89.86</v>
      </c>
      <c r="AB6" s="35" t="n">
        <v>3.07</v>
      </c>
      <c r="AC6" s="35" t="n">
        <v>39.86</v>
      </c>
      <c r="AD6" s="22" t="n">
        <v>24.8</v>
      </c>
    </row>
    <row r="7">
      <c r="A7" s="23" t="inlineStr">
        <is>
          <t>Festval - Pinhais</t>
        </is>
      </c>
      <c r="B7" s="8" t="inlineStr">
        <is>
          <t>PINHAIS</t>
        </is>
      </c>
      <c r="C7" s="36" t="n">
        <v>0</v>
      </c>
      <c r="D7" s="36" t="n">
        <v>0</v>
      </c>
      <c r="E7" s="36" t="n">
        <v>32.79</v>
      </c>
      <c r="F7" s="25" t="n">
        <v>41</v>
      </c>
      <c r="G7" s="36" t="n">
        <v>0</v>
      </c>
      <c r="H7" s="36" t="n">
        <v>0</v>
      </c>
      <c r="I7" s="36" t="n">
        <v>19.8</v>
      </c>
      <c r="J7" s="25" t="n">
        <v>25</v>
      </c>
      <c r="K7" s="36" t="n">
        <v>0</v>
      </c>
      <c r="L7" s="36" t="n">
        <v>0</v>
      </c>
      <c r="M7" s="36" t="n">
        <v>25.77</v>
      </c>
      <c r="N7" s="25" t="n">
        <v>32.2</v>
      </c>
      <c r="O7" s="36" t="n">
        <v>92.44</v>
      </c>
      <c r="P7" s="36" t="n">
        <v>0</v>
      </c>
      <c r="Q7" s="36" t="n">
        <v>22.22</v>
      </c>
      <c r="R7" s="25" t="n">
        <v>2.8</v>
      </c>
      <c r="S7" s="36" t="n">
        <v>88.51000000000001</v>
      </c>
      <c r="T7" s="36" t="n">
        <v>1.7</v>
      </c>
      <c r="U7" s="36" t="n">
        <v>31.06</v>
      </c>
      <c r="V7" s="25" t="n">
        <v>13.8</v>
      </c>
      <c r="W7" s="36" t="n">
        <v>85.52</v>
      </c>
      <c r="X7" s="36" t="n">
        <v>0</v>
      </c>
      <c r="Y7" s="36" t="n">
        <v>31.22</v>
      </c>
      <c r="Z7" s="25" t="n">
        <v>14</v>
      </c>
      <c r="AA7" s="36" t="n">
        <v>89.8</v>
      </c>
      <c r="AB7" s="36" t="n">
        <v>1.22</v>
      </c>
      <c r="AC7" s="36" t="n">
        <v>32.65</v>
      </c>
      <c r="AD7" s="25" t="n">
        <v>15.8</v>
      </c>
    </row>
    <row r="8">
      <c r="A8" s="20" t="inlineStr">
        <is>
          <t>Festval - Republica Argentina</t>
        </is>
      </c>
      <c r="B8" s="4" t="inlineStr">
        <is>
          <t>CURITIBA</t>
        </is>
      </c>
      <c r="C8" s="35" t="n">
        <v>0</v>
      </c>
      <c r="D8" s="35" t="n">
        <v>0</v>
      </c>
      <c r="E8" s="35" t="n">
        <v>45.77</v>
      </c>
      <c r="F8" s="22" t="n">
        <v>57.2</v>
      </c>
      <c r="G8" s="35" t="n">
        <v>0</v>
      </c>
      <c r="H8" s="35" t="n">
        <v>0</v>
      </c>
      <c r="I8" s="35" t="n">
        <v>39.36</v>
      </c>
      <c r="J8" s="22" t="n">
        <v>49.2</v>
      </c>
      <c r="K8" s="35" t="n">
        <v>0</v>
      </c>
      <c r="L8" s="35" t="n">
        <v>0</v>
      </c>
      <c r="M8" s="35" t="n">
        <v>42.44</v>
      </c>
      <c r="N8" s="22" t="n">
        <v>53</v>
      </c>
      <c r="O8" s="35" t="n">
        <v>74.86</v>
      </c>
      <c r="P8" s="35" t="n">
        <v>1.41</v>
      </c>
      <c r="Q8" s="35" t="n">
        <v>43.16</v>
      </c>
      <c r="R8" s="22" t="n">
        <v>29</v>
      </c>
      <c r="S8" s="35" t="n">
        <v>66.73</v>
      </c>
      <c r="T8" s="35" t="n">
        <v>3.15</v>
      </c>
      <c r="U8" s="35" t="n">
        <v>45.07</v>
      </c>
      <c r="V8" s="22" t="n">
        <v>34.1</v>
      </c>
      <c r="W8" s="35" t="n">
        <v>70.25</v>
      </c>
      <c r="X8" s="35" t="n">
        <v>0.45</v>
      </c>
      <c r="Y8" s="35" t="n">
        <v>44.13</v>
      </c>
      <c r="Z8" s="22" t="n">
        <v>31.7</v>
      </c>
      <c r="AA8" s="35" t="n">
        <v>70.95</v>
      </c>
      <c r="AB8" s="35" t="n">
        <v>0.32</v>
      </c>
      <c r="AC8" s="35" t="n">
        <v>40.3</v>
      </c>
      <c r="AD8" s="22" t="n">
        <v>26.7</v>
      </c>
    </row>
    <row r="9">
      <c r="A9" s="23" t="inlineStr">
        <is>
          <t>Festval - São José dos pinhais</t>
        </is>
      </c>
      <c r="B9" s="8" t="inlineStr">
        <is>
          <t>SAO JOSE DOS PINHAIS</t>
        </is>
      </c>
      <c r="C9" s="36" t="n">
        <v>0</v>
      </c>
      <c r="D9" s="36" t="n">
        <v>0</v>
      </c>
      <c r="E9" s="36" t="n">
        <v>46.3</v>
      </c>
      <c r="F9" s="25" t="n">
        <v>57.9</v>
      </c>
      <c r="G9" s="36" t="n">
        <v>0</v>
      </c>
      <c r="H9" s="36" t="n">
        <v>0</v>
      </c>
      <c r="I9" s="36" t="n">
        <v>44.25</v>
      </c>
      <c r="J9" s="25" t="n">
        <v>55.3</v>
      </c>
      <c r="K9" s="36" t="n">
        <v>0</v>
      </c>
      <c r="L9" s="36" t="n">
        <v>0</v>
      </c>
      <c r="M9" s="36" t="n">
        <v>39.95</v>
      </c>
      <c r="N9" s="25" t="n">
        <v>49.9</v>
      </c>
      <c r="O9" s="36" t="n">
        <v>89.56</v>
      </c>
      <c r="P9" s="36" t="n">
        <v>1.1</v>
      </c>
      <c r="Q9" s="36" t="n">
        <v>36.84</v>
      </c>
      <c r="R9" s="25" t="n">
        <v>21.1</v>
      </c>
      <c r="S9" s="36" t="n">
        <v>81.3</v>
      </c>
      <c r="T9" s="36" t="n">
        <v>0.75</v>
      </c>
      <c r="U9" s="36" t="n">
        <v>35.41</v>
      </c>
      <c r="V9" s="25" t="n">
        <v>19.3</v>
      </c>
      <c r="W9" s="36" t="n">
        <v>91.64</v>
      </c>
      <c r="X9" s="36" t="n">
        <v>1.62</v>
      </c>
      <c r="Y9" s="36" t="n">
        <v>35.85</v>
      </c>
      <c r="Z9" s="25" t="n">
        <v>19.8</v>
      </c>
      <c r="AA9" s="36" t="n">
        <v>87.68000000000001</v>
      </c>
      <c r="AB9" s="36" t="n">
        <v>1.96</v>
      </c>
      <c r="AC9" s="36" t="n">
        <v>35.29</v>
      </c>
      <c r="AD9" s="25" t="n">
        <v>19.1</v>
      </c>
    </row>
    <row r="10">
      <c r="A10" s="20" t="inlineStr">
        <is>
          <t>Festval - São Lourenço</t>
        </is>
      </c>
      <c r="B10" s="4" t="inlineStr">
        <is>
          <t>CURITIBA</t>
        </is>
      </c>
      <c r="C10" s="35" t="n">
        <v>0</v>
      </c>
      <c r="D10" s="35" t="n">
        <v>0</v>
      </c>
      <c r="E10" s="35" t="n">
        <v>40.99</v>
      </c>
      <c r="F10" s="22" t="n">
        <v>51.2</v>
      </c>
      <c r="G10" s="35" t="n">
        <v>0</v>
      </c>
      <c r="H10" s="35" t="n">
        <v>0</v>
      </c>
      <c r="I10" s="35" t="n">
        <v>37.5</v>
      </c>
      <c r="J10" s="22" t="n">
        <v>46.9</v>
      </c>
      <c r="K10" s="35" t="n">
        <v>0</v>
      </c>
      <c r="L10" s="35" t="n">
        <v>0</v>
      </c>
      <c r="M10" s="35" t="n">
        <v>41.73</v>
      </c>
      <c r="N10" s="22" t="n">
        <v>52.2</v>
      </c>
      <c r="O10" s="35" t="n">
        <v>95.61</v>
      </c>
      <c r="P10" s="35" t="n">
        <v>0.49</v>
      </c>
      <c r="Q10" s="35" t="n">
        <v>40.67</v>
      </c>
      <c r="R10" s="22" t="n">
        <v>25.8</v>
      </c>
      <c r="S10" s="35" t="n">
        <v>91.56999999999999</v>
      </c>
      <c r="T10" s="35" t="n">
        <v>1</v>
      </c>
      <c r="U10" s="35" t="n">
        <v>38.55</v>
      </c>
      <c r="V10" s="22" t="n">
        <v>23.2</v>
      </c>
      <c r="W10" s="35" t="n">
        <v>83.76000000000001</v>
      </c>
      <c r="X10" s="35" t="n">
        <v>0.2</v>
      </c>
      <c r="Y10" s="35" t="n">
        <v>31.88</v>
      </c>
      <c r="Z10" s="22" t="n">
        <v>14.8</v>
      </c>
      <c r="AA10" s="35" t="n">
        <v>80.2</v>
      </c>
      <c r="AB10" s="35" t="n">
        <v>0.34</v>
      </c>
      <c r="AC10" s="35" t="n">
        <v>32.83</v>
      </c>
      <c r="AD10" s="22" t="n">
        <v>16</v>
      </c>
    </row>
    <row r="11">
      <c r="A11" s="28" t="inlineStr">
        <is>
          <t>Festval - Tancredo Neves</t>
        </is>
      </c>
      <c r="B11" s="8" t="inlineStr">
        <is>
          <t>CASCAVEL</t>
        </is>
      </c>
      <c r="C11" s="27" t="inlineStr">
        <is>
          <t>N/A</t>
        </is>
      </c>
      <c r="D11" s="36" t="n">
        <v>0</v>
      </c>
      <c r="E11" s="36" t="n">
        <v>55.17</v>
      </c>
      <c r="F11" s="25" t="n">
        <v>44</v>
      </c>
      <c r="G11" s="27" t="inlineStr">
        <is>
          <t>N/A</t>
        </is>
      </c>
      <c r="H11" s="36" t="n">
        <v>0</v>
      </c>
      <c r="I11" s="36" t="n">
        <v>50</v>
      </c>
      <c r="J11" s="25" t="n">
        <v>37.5</v>
      </c>
      <c r="K11" s="27" t="inlineStr">
        <is>
          <t>N/A</t>
        </is>
      </c>
      <c r="L11" s="36" t="n">
        <v>0</v>
      </c>
      <c r="M11" s="36" t="n">
        <v>49.5</v>
      </c>
      <c r="N11" s="25" t="n">
        <v>36.9</v>
      </c>
      <c r="O11" s="27" t="inlineStr">
        <is>
          <t>N/A</t>
        </is>
      </c>
      <c r="P11" s="36" t="n">
        <v>0</v>
      </c>
      <c r="Q11" s="36" t="n">
        <v>48.2</v>
      </c>
      <c r="R11" s="25" t="n">
        <v>35.2</v>
      </c>
      <c r="S11" s="27" t="inlineStr">
        <is>
          <t>N/A</t>
        </is>
      </c>
      <c r="T11" s="36" t="n">
        <v>0</v>
      </c>
      <c r="U11" s="36" t="n">
        <v>41.84</v>
      </c>
      <c r="V11" s="25" t="n">
        <v>27.3</v>
      </c>
      <c r="W11" s="27" t="inlineStr">
        <is>
          <t>N/A</t>
        </is>
      </c>
      <c r="X11" s="36" t="n">
        <v>0</v>
      </c>
      <c r="Y11" s="36" t="n">
        <v>51.88</v>
      </c>
      <c r="Z11" s="25" t="n">
        <v>39.9</v>
      </c>
      <c r="AA11" s="27" t="inlineStr">
        <is>
          <t>N/A</t>
        </is>
      </c>
      <c r="AB11" s="36" t="n">
        <v>0</v>
      </c>
      <c r="AC11" s="36" t="n">
        <v>52.63</v>
      </c>
      <c r="AD11" s="25" t="n">
        <v>40.8</v>
      </c>
    </row>
    <row r="12">
      <c r="A12" s="26" t="inlineStr">
        <is>
          <t>Festval Carlos Gomes</t>
        </is>
      </c>
      <c r="B12" s="4" t="inlineStr">
        <is>
          <t>CASCAVEL</t>
        </is>
      </c>
      <c r="C12" s="27" t="inlineStr">
        <is>
          <t>N/A</t>
        </is>
      </c>
      <c r="D12" s="35" t="n">
        <v>0</v>
      </c>
      <c r="E12" s="35" t="n">
        <v>46</v>
      </c>
      <c r="F12" s="22" t="n">
        <v>32.5</v>
      </c>
      <c r="G12" s="27" t="inlineStr">
        <is>
          <t>N/A</t>
        </is>
      </c>
      <c r="H12" s="35" t="n">
        <v>0</v>
      </c>
      <c r="I12" s="35" t="n">
        <v>55.56</v>
      </c>
      <c r="J12" s="22" t="n">
        <v>44.5</v>
      </c>
      <c r="K12" s="27" t="inlineStr">
        <is>
          <t>N/A</t>
        </is>
      </c>
      <c r="L12" s="35" t="n">
        <v>0</v>
      </c>
      <c r="M12" s="35" t="n">
        <v>34.78</v>
      </c>
      <c r="N12" s="22" t="n">
        <v>18.5</v>
      </c>
      <c r="O12" s="27" t="inlineStr">
        <is>
          <t>N/A</t>
        </is>
      </c>
      <c r="P12" s="35" t="n">
        <v>0</v>
      </c>
      <c r="Q12" s="35" t="n">
        <v>39.74</v>
      </c>
      <c r="R12" s="22" t="n">
        <v>24.7</v>
      </c>
      <c r="S12" s="27" t="inlineStr">
        <is>
          <t>N/A</t>
        </is>
      </c>
      <c r="T12" s="35" t="n">
        <v>0</v>
      </c>
      <c r="U12" s="35" t="n">
        <v>38.81</v>
      </c>
      <c r="V12" s="22" t="n">
        <v>23.5</v>
      </c>
      <c r="W12" s="27" t="inlineStr">
        <is>
          <t>N/A</t>
        </is>
      </c>
      <c r="X12" s="35" t="n">
        <v>0</v>
      </c>
      <c r="Y12" s="35" t="n">
        <v>37.29</v>
      </c>
      <c r="Z12" s="22" t="n">
        <v>21.6</v>
      </c>
      <c r="AA12" s="27" t="inlineStr">
        <is>
          <t>N/A</t>
        </is>
      </c>
      <c r="AB12" s="35" t="n">
        <v>0</v>
      </c>
      <c r="AC12" s="35" t="n">
        <v>47.83</v>
      </c>
      <c r="AD12" s="22" t="n">
        <v>34.8</v>
      </c>
    </row>
    <row r="13">
      <c r="A13" s="28" t="inlineStr">
        <is>
          <t>Festval Cascavel - Centro</t>
        </is>
      </c>
      <c r="B13" s="8" t="inlineStr">
        <is>
          <t>CASCAVEL</t>
        </is>
      </c>
      <c r="C13" s="27" t="inlineStr">
        <is>
          <t>N/A</t>
        </is>
      </c>
      <c r="D13" s="36" t="n">
        <v>0</v>
      </c>
      <c r="E13" s="36" t="n">
        <v>56.7</v>
      </c>
      <c r="F13" s="25" t="n">
        <v>45.9</v>
      </c>
      <c r="G13" s="27" t="inlineStr">
        <is>
          <t>N/A</t>
        </is>
      </c>
      <c r="H13" s="36" t="n">
        <v>0</v>
      </c>
      <c r="I13" s="36" t="n">
        <v>56.84</v>
      </c>
      <c r="J13" s="25" t="n">
        <v>46.1</v>
      </c>
      <c r="K13" s="27" t="inlineStr">
        <is>
          <t>N/A</t>
        </is>
      </c>
      <c r="L13" s="36" t="n">
        <v>0</v>
      </c>
      <c r="M13" s="36" t="n">
        <v>53.25</v>
      </c>
      <c r="N13" s="25" t="n">
        <v>41.6</v>
      </c>
      <c r="O13" s="27" t="inlineStr">
        <is>
          <t>N/A</t>
        </is>
      </c>
      <c r="P13" s="36" t="n">
        <v>0</v>
      </c>
      <c r="Q13" s="36" t="n">
        <v>50.44</v>
      </c>
      <c r="R13" s="25" t="n">
        <v>38</v>
      </c>
      <c r="S13" s="27" t="inlineStr">
        <is>
          <t>N/A</t>
        </is>
      </c>
      <c r="T13" s="36" t="n">
        <v>0</v>
      </c>
      <c r="U13" s="36" t="n">
        <v>53.14</v>
      </c>
      <c r="V13" s="25" t="n">
        <v>41.4</v>
      </c>
      <c r="W13" s="27" t="inlineStr">
        <is>
          <t>N/A</t>
        </is>
      </c>
      <c r="X13" s="36" t="n">
        <v>0</v>
      </c>
      <c r="Y13" s="36" t="n">
        <v>51</v>
      </c>
      <c r="Z13" s="25" t="n">
        <v>38.8</v>
      </c>
      <c r="AA13" s="27" t="inlineStr">
        <is>
          <t>N/A</t>
        </is>
      </c>
      <c r="AB13" s="36" t="n">
        <v>0</v>
      </c>
      <c r="AC13" s="36" t="n">
        <v>53.07</v>
      </c>
      <c r="AD13" s="25" t="n">
        <v>41.3</v>
      </c>
    </row>
  </sheetData>
  <mergeCells count="8">
    <mergeCell ref="S2:V2"/>
    <mergeCell ref="W2:Z2"/>
    <mergeCell ref="G2:J2"/>
    <mergeCell ref="O2:R2"/>
    <mergeCell ref="K2:N2"/>
    <mergeCell ref="AA2:AD2"/>
    <mergeCell ref="C2:F2"/>
    <mergeCell ref="A1:AD1"/>
  </mergeCells>
  <conditionalFormatting sqref="AA4:AA13">
    <cfRule type="cellIs" priority="1" operator="greaterThanOrEqual" dxfId="0">
      <formula>80</formula>
    </cfRule>
    <cfRule type="cellIs" priority="2" operator="between" dxfId="1">
      <formula>75</formula>
      <formula>79.99</formula>
    </cfRule>
    <cfRule type="cellIs" priority="3" operator="lessThan" dxfId="2">
      <formula>75</formula>
    </cfRule>
  </conditionalFormatting>
  <conditionalFormatting sqref="AD4:AD13">
    <cfRule type="cellIs" priority="4" operator="lessThan" dxfId="0">
      <formula>20</formula>
    </cfRule>
    <cfRule type="cellIs" priority="5" operator="between" dxfId="1">
      <formula>20</formula>
      <formula>40</formula>
    </cfRule>
    <cfRule type="cellIs" priority="6" operator="greaterThan" dxfId="2">
      <formula>40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2" customWidth="1" min="10" max="10"/>
  </cols>
  <sheetData>
    <row r="1" ht="33" customHeight="1">
      <c r="A1" s="19" t="inlineStr">
        <is>
          <t>FESTVAL — Ranking Pior → Melhor | 11/05–17/05 vs 18/05–24/05</t>
        </is>
      </c>
    </row>
    <row r="2" ht="16" customHeight="1">
      <c r="A2" s="2" t="inlineStr">
        <is>
          <t>Score = Penalidade por SLA + NSU + RuptPed + RuptItem (máx 100 | Cascavel: máx 75)</t>
        </is>
      </c>
    </row>
    <row r="3" ht="30" customHeight="1">
      <c r="A3" s="3" t="inlineStr">
        <is>
          <t>Rank</t>
        </is>
      </c>
      <c r="B3" s="3" t="inlineStr">
        <is>
          <t>Loja</t>
        </is>
      </c>
      <c r="C3" s="3" t="inlineStr">
        <is>
          <t>Cidade</t>
        </is>
      </c>
      <c r="D3" s="3" t="inlineStr">
        <is>
          <t>SLA 18/05–24/05</t>
        </is>
      </c>
      <c r="E3" s="3" t="inlineStr">
        <is>
          <t>NSU 18/05–24/05</t>
        </is>
      </c>
      <c r="F3" s="3" t="inlineStr">
        <is>
          <t>RuptPed 18/05–24/05</t>
        </is>
      </c>
      <c r="G3" s="3" t="inlineStr">
        <is>
          <t>RuptItem 18/05–24/05</t>
        </is>
      </c>
      <c r="H3" s="3" t="inlineStr">
        <is>
          <t>Score 11/05–17/05</t>
        </is>
      </c>
      <c r="I3" s="3" t="inlineStr">
        <is>
          <t>Score 18/05–24/05</t>
        </is>
      </c>
      <c r="J3" s="3" t="inlineStr">
        <is>
          <t>Δ Score</t>
        </is>
      </c>
    </row>
    <row r="4">
      <c r="A4" s="37" t="n">
        <v>1</v>
      </c>
      <c r="B4" s="26" t="inlineStr">
        <is>
          <t>Festval Cascavel - Centro</t>
        </is>
      </c>
      <c r="C4" s="4" t="inlineStr">
        <is>
          <t>CASCAVEL</t>
        </is>
      </c>
      <c r="D4" s="27" t="inlineStr">
        <is>
          <t>N/A</t>
        </is>
      </c>
      <c r="E4" s="35" t="n">
        <v>0</v>
      </c>
      <c r="F4" s="35" t="n">
        <v>53.07</v>
      </c>
      <c r="G4" s="35" t="n">
        <v>8.01</v>
      </c>
      <c r="H4" s="22" t="n">
        <v>38.8</v>
      </c>
      <c r="I4" s="38" t="n">
        <v>41.3</v>
      </c>
      <c r="J4" s="39" t="n">
        <v>2.5</v>
      </c>
    </row>
    <row r="5">
      <c r="A5" s="40" t="n">
        <v>2</v>
      </c>
      <c r="B5" s="28" t="inlineStr">
        <is>
          <t>Festval - Tancredo Neves</t>
        </is>
      </c>
      <c r="C5" s="8" t="inlineStr">
        <is>
          <t>CASCAVEL</t>
        </is>
      </c>
      <c r="D5" s="27" t="inlineStr">
        <is>
          <t>N/A</t>
        </is>
      </c>
      <c r="E5" s="36" t="n">
        <v>0</v>
      </c>
      <c r="F5" s="36" t="n">
        <v>52.63</v>
      </c>
      <c r="G5" s="36" t="n">
        <v>7.15</v>
      </c>
      <c r="H5" s="25" t="n">
        <v>39.9</v>
      </c>
      <c r="I5" s="41" t="n">
        <v>40.8</v>
      </c>
      <c r="J5" s="42" t="n">
        <v>0.9</v>
      </c>
    </row>
    <row r="6">
      <c r="A6" s="37" t="n">
        <v>3</v>
      </c>
      <c r="B6" s="26" t="inlineStr">
        <is>
          <t>Festval Carlos Gomes</t>
        </is>
      </c>
      <c r="C6" s="4" t="inlineStr">
        <is>
          <t>CASCAVEL</t>
        </is>
      </c>
      <c r="D6" s="27" t="inlineStr">
        <is>
          <t>N/A</t>
        </is>
      </c>
      <c r="E6" s="35" t="n">
        <v>0</v>
      </c>
      <c r="F6" s="35" t="n">
        <v>47.83</v>
      </c>
      <c r="G6" s="35" t="n">
        <v>5.33</v>
      </c>
      <c r="H6" s="22" t="n">
        <v>21.6</v>
      </c>
      <c r="I6" s="38" t="n">
        <v>34.8</v>
      </c>
      <c r="J6" s="39" t="n">
        <v>13.2</v>
      </c>
    </row>
    <row r="7">
      <c r="A7" s="40" t="n">
        <v>4</v>
      </c>
      <c r="B7" s="28" t="inlineStr">
        <is>
          <t>Festval - Faculdade</t>
        </is>
      </c>
      <c r="C7" s="8" t="inlineStr">
        <is>
          <t>CASCAVEL</t>
        </is>
      </c>
      <c r="D7" s="27" t="inlineStr">
        <is>
          <t>N/A</t>
        </is>
      </c>
      <c r="E7" s="36" t="n">
        <v>0</v>
      </c>
      <c r="F7" s="36" t="n">
        <v>45.1</v>
      </c>
      <c r="G7" s="36" t="n">
        <v>5.74</v>
      </c>
      <c r="H7" s="25" t="n">
        <v>26.2</v>
      </c>
      <c r="I7" s="41" t="n">
        <v>31.4</v>
      </c>
      <c r="J7" s="42" t="n">
        <v>5.2</v>
      </c>
    </row>
    <row r="8">
      <c r="A8" s="37" t="n">
        <v>5</v>
      </c>
      <c r="B8" s="26" t="inlineStr">
        <is>
          <t>Festval - Av Brasil</t>
        </is>
      </c>
      <c r="C8" s="4" t="inlineStr">
        <is>
          <t>CASCAVEL</t>
        </is>
      </c>
      <c r="D8" s="27" t="inlineStr">
        <is>
          <t>N/A</t>
        </is>
      </c>
      <c r="E8" s="35" t="n">
        <v>0</v>
      </c>
      <c r="F8" s="35" t="n">
        <v>45.07</v>
      </c>
      <c r="G8" s="35" t="n">
        <v>7.17</v>
      </c>
      <c r="H8" s="22" t="n">
        <v>52.6</v>
      </c>
      <c r="I8" s="38" t="n">
        <v>31.3</v>
      </c>
      <c r="J8" s="43" t="n">
        <v>-21.3</v>
      </c>
    </row>
    <row r="9">
      <c r="A9" s="40" t="n">
        <v>6</v>
      </c>
      <c r="B9" s="23" t="inlineStr">
        <is>
          <t>Festval - Republica Argentina</t>
        </is>
      </c>
      <c r="C9" s="8" t="inlineStr">
        <is>
          <t>CURITIBA</t>
        </is>
      </c>
      <c r="D9" s="36" t="n">
        <v>70.95</v>
      </c>
      <c r="E9" s="36" t="n">
        <v>0.32</v>
      </c>
      <c r="F9" s="36" t="n">
        <v>40.3</v>
      </c>
      <c r="G9" s="36" t="n">
        <v>6.35</v>
      </c>
      <c r="H9" s="25" t="n">
        <v>31.7</v>
      </c>
      <c r="I9" s="41" t="n">
        <v>26.7</v>
      </c>
      <c r="J9" s="44" t="n">
        <v>-5</v>
      </c>
    </row>
    <row r="10">
      <c r="A10" s="37" t="n">
        <v>7</v>
      </c>
      <c r="B10" s="20" t="inlineStr">
        <is>
          <t>Festval - Parque Tingui</t>
        </is>
      </c>
      <c r="C10" s="4" t="inlineStr">
        <is>
          <t>CURITIBA</t>
        </is>
      </c>
      <c r="D10" s="35" t="n">
        <v>89.86</v>
      </c>
      <c r="E10" s="35" t="n">
        <v>3.07</v>
      </c>
      <c r="F10" s="35" t="n">
        <v>39.86</v>
      </c>
      <c r="G10" s="35" t="n">
        <v>7.4</v>
      </c>
      <c r="H10" s="22" t="n">
        <v>32.8</v>
      </c>
      <c r="I10" s="38" t="n">
        <v>24.8</v>
      </c>
      <c r="J10" s="43" t="n">
        <v>-8</v>
      </c>
    </row>
    <row r="11">
      <c r="A11" s="40" t="n">
        <v>8</v>
      </c>
      <c r="B11" s="23" t="inlineStr">
        <is>
          <t>Festval - São José dos pinhais</t>
        </is>
      </c>
      <c r="C11" s="8" t="inlineStr">
        <is>
          <t>SAO JOSE DOS PINHAIS</t>
        </is>
      </c>
      <c r="D11" s="36" t="n">
        <v>87.68000000000001</v>
      </c>
      <c r="E11" s="36" t="n">
        <v>1.96</v>
      </c>
      <c r="F11" s="36" t="n">
        <v>35.29</v>
      </c>
      <c r="G11" s="36" t="n">
        <v>6.08</v>
      </c>
      <c r="H11" s="25" t="n">
        <v>19.8</v>
      </c>
      <c r="I11" s="41" t="n">
        <v>19.1</v>
      </c>
      <c r="J11" s="44" t="n">
        <v>-0.7</v>
      </c>
    </row>
    <row r="12">
      <c r="A12" s="37" t="n">
        <v>9</v>
      </c>
      <c r="B12" s="20" t="inlineStr">
        <is>
          <t>Festval - São Lourenço</t>
        </is>
      </c>
      <c r="C12" s="4" t="inlineStr">
        <is>
          <t>CURITIBA</t>
        </is>
      </c>
      <c r="D12" s="35" t="n">
        <v>80.2</v>
      </c>
      <c r="E12" s="35" t="n">
        <v>0.34</v>
      </c>
      <c r="F12" s="35" t="n">
        <v>32.83</v>
      </c>
      <c r="G12" s="35" t="n">
        <v>5.54</v>
      </c>
      <c r="H12" s="22" t="n">
        <v>14.8</v>
      </c>
      <c r="I12" s="38" t="n">
        <v>16</v>
      </c>
      <c r="J12" s="39" t="n">
        <v>1.2</v>
      </c>
    </row>
    <row r="13">
      <c r="A13" s="40" t="n">
        <v>10</v>
      </c>
      <c r="B13" s="23" t="inlineStr">
        <is>
          <t>Festval - Pinhais</t>
        </is>
      </c>
      <c r="C13" s="8" t="inlineStr">
        <is>
          <t>PINHAIS</t>
        </is>
      </c>
      <c r="D13" s="36" t="n">
        <v>89.8</v>
      </c>
      <c r="E13" s="36" t="n">
        <v>1.22</v>
      </c>
      <c r="F13" s="36" t="n">
        <v>32.65</v>
      </c>
      <c r="G13" s="36" t="n">
        <v>7.04</v>
      </c>
      <c r="H13" s="25" t="n">
        <v>14</v>
      </c>
      <c r="I13" s="41" t="n">
        <v>15.8</v>
      </c>
      <c r="J13" s="42" t="n">
        <v>1.8</v>
      </c>
    </row>
  </sheetData>
  <mergeCells count="2">
    <mergeCell ref="A1:J1"/>
    <mergeCell ref="A2:J2"/>
  </mergeCells>
  <conditionalFormatting sqref="I4:I13">
    <cfRule type="cellIs" priority="1" operator="lessThan" dxfId="0">
      <formula>20</formula>
    </cfRule>
    <cfRule type="cellIs" priority="2" operator="between" dxfId="1">
      <formula>20</formula>
      <formula>40</formula>
    </cfRule>
    <cfRule type="cellIs" priority="3" operator="greaterThan" dxfId="2">
      <formula>40</formula>
    </cfRule>
  </conditionalFormatting>
  <conditionalFormatting sqref="D4:D13">
    <cfRule type="cellIs" priority="4" operator="greaterThanOrEqual" dxfId="0">
      <formula>80</formula>
    </cfRule>
    <cfRule type="cellIs" priority="5" operator="between" dxfId="1">
      <formula>75</formula>
      <formula>79.99</formula>
    </cfRule>
    <cfRule type="cellIs" priority="6" operator="lessThan" dxfId="2">
      <formula>75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30" customWidth="1" min="3" max="3"/>
    <col width="28" customWidth="1" min="4" max="4"/>
    <col width="22" customWidth="1" min="5" max="5"/>
    <col width="18" customWidth="1" min="6" max="6"/>
    <col width="14" customWidth="1" min="7" max="7"/>
  </cols>
  <sheetData>
    <row r="1" ht="33" customHeight="1">
      <c r="A1" s="29" t="inlineStr">
        <is>
          <t>FESTVAL — Itens Rupturados Pareto 80% | 06/04 – 24/05/2026</t>
        </is>
      </c>
    </row>
    <row r="2" ht="16" customHeight="1">
      <c r="A2" s="2" t="inlineStr">
        <is>
          <t>Período de referência: 01/05 a 24/05/2026 | 31 itens representam ≥80% do GMV perdido</t>
        </is>
      </c>
    </row>
    <row r="3" ht="30" customHeight="1">
      <c r="A3" s="3" t="inlineStr">
        <is>
          <t>#</t>
        </is>
      </c>
      <c r="B3" s="3" t="inlineStr">
        <is>
          <t>Produto</t>
        </is>
      </c>
      <c r="C3" s="3" t="inlineStr">
        <is>
          <t>Departamento</t>
        </is>
      </c>
      <c r="D3" s="3" t="inlineStr">
        <is>
          <t>Categoria</t>
        </is>
      </c>
      <c r="E3" s="3" t="inlineStr">
        <is>
          <t>Marca</t>
        </is>
      </c>
      <c r="F3" s="3" t="inlineStr">
        <is>
          <t>GMV Perdido (R$)</t>
        </is>
      </c>
      <c r="G3" s="3" t="inlineStr">
        <is>
          <t>% Acumulado</t>
        </is>
      </c>
    </row>
    <row r="4">
      <c r="A4" s="12" t="n">
        <v>1</v>
      </c>
      <c r="B4" s="20" t="inlineStr">
        <is>
          <t>Queijo Parmesão Em Forma Vigor/Faixa Azul 1Kg</t>
        </is>
      </c>
      <c r="C4" s="20" t="inlineStr">
        <is>
          <t>Frios e Laticínios</t>
        </is>
      </c>
      <c r="D4" s="20" t="inlineStr">
        <is>
          <t>Queijos</t>
        </is>
      </c>
      <c r="E4" s="20" t="inlineStr">
        <is>
          <t>Yema</t>
        </is>
      </c>
      <c r="F4" s="5" t="n">
        <v>194.65</v>
      </c>
      <c r="G4" s="21" t="n">
        <v>0.793148181288302</v>
      </c>
    </row>
    <row r="5">
      <c r="A5" s="30" t="n">
        <v>2</v>
      </c>
      <c r="B5" s="23" t="inlineStr">
        <is>
          <t>Qj.Mussarela Frimesa Peca K G</t>
        </is>
      </c>
      <c r="C5" s="23" t="inlineStr">
        <is>
          <t>Frios e Laticínios</t>
        </is>
      </c>
      <c r="D5" s="23" t="inlineStr">
        <is>
          <t>Queijos</t>
        </is>
      </c>
      <c r="E5" s="23" t="inlineStr">
        <is>
          <t>Frimesa</t>
        </is>
      </c>
      <c r="F5" s="9" t="n">
        <v>280.36</v>
      </c>
      <c r="G5" s="24" t="n">
        <v>0.5353008523088666</v>
      </c>
    </row>
    <row r="6">
      <c r="A6" s="12" t="n">
        <v>3</v>
      </c>
      <c r="B6" s="20" t="inlineStr">
        <is>
          <t>Whisky 15 Anos Dewars 750ml</t>
        </is>
      </c>
      <c r="C6" s="20" t="inlineStr">
        <is>
          <t>Vinhos, Destilados e Drinks Prontos</t>
        </is>
      </c>
      <c r="D6" s="20" t="inlineStr">
        <is>
          <t>Destilados</t>
        </is>
      </c>
      <c r="E6" s="20" t="inlineStr">
        <is>
          <t>Dewar's</t>
        </is>
      </c>
      <c r="F6" s="5" t="n">
        <v>302.85</v>
      </c>
      <c r="G6" s="21" t="n">
        <v>0.494241399111828</v>
      </c>
    </row>
    <row r="7">
      <c r="A7" s="30" t="n">
        <v>4</v>
      </c>
      <c r="B7" s="23" t="inlineStr">
        <is>
          <t>Lombo De Bacalhau Dessalgado Riberalves 800g</t>
        </is>
      </c>
      <c r="C7" s="23" t="inlineStr">
        <is>
          <t>Carnes, Aves e Peixes</t>
        </is>
      </c>
      <c r="D7" s="23" t="inlineStr">
        <is>
          <t>Peixes</t>
        </is>
      </c>
      <c r="E7" s="23" t="inlineStr">
        <is>
          <t>Riberalves</t>
        </is>
      </c>
      <c r="F7" s="9" t="n">
        <v>205.09</v>
      </c>
      <c r="G7" s="24" t="n">
        <v>0.7064338934179101</v>
      </c>
    </row>
    <row r="8">
      <c r="A8" s="12" t="n">
        <v>5</v>
      </c>
      <c r="B8" s="20" t="inlineStr">
        <is>
          <t>Lava-Roupas Líquido Concentrado Neutro Onda Eco Frasco 1kg 1l</t>
        </is>
      </c>
      <c r="C8" s="20" t="inlineStr">
        <is>
          <t>Limpeza</t>
        </is>
      </c>
      <c r="D8" s="20" t="inlineStr">
        <is>
          <t>Roupas</t>
        </is>
      </c>
      <c r="E8" s="20" t="inlineStr">
        <is>
          <t>Onda Eco</t>
        </is>
      </c>
      <c r="F8" s="5" t="n">
        <v>290.94</v>
      </c>
      <c r="G8" s="21" t="n">
        <v>0.515151319141841</v>
      </c>
    </row>
    <row r="9">
      <c r="A9" s="8" t="n">
        <v>6</v>
      </c>
      <c r="B9" s="23" t="inlineStr">
        <is>
          <t>Choclindt Gold Bar Milk 300G</t>
        </is>
      </c>
      <c r="C9" s="23" t="inlineStr">
        <is>
          <t>Doces e Sobremesas</t>
        </is>
      </c>
      <c r="D9" s="23" t="inlineStr">
        <is>
          <t>Chocolates e Bombons</t>
        </is>
      </c>
      <c r="E9" s="23" t="inlineStr">
        <is>
          <t>Lindt</t>
        </is>
      </c>
      <c r="F9" s="9" t="n">
        <v>204.8</v>
      </c>
      <c r="G9" s="24" t="n">
        <v>0.7506117951957635</v>
      </c>
    </row>
    <row r="10"/>
    <row r="11">
      <c r="A11" s="8" t="n">
        <v>8</v>
      </c>
      <c r="B11" s="23" t="inlineStr">
        <is>
          <t>Vinho Rutini Wines Malbec 750ml</t>
        </is>
      </c>
      <c r="C11" s="23" t="inlineStr">
        <is>
          <t>Vinhos, Destilados e Drinks Prontos</t>
        </is>
      </c>
      <c r="D11" s="23" t="inlineStr">
        <is>
          <t>Vinhos</t>
        </is>
      </c>
      <c r="E11" s="23" t="inlineStr">
        <is>
          <t>Rutini</t>
        </is>
      </c>
      <c r="F11" s="9" t="n">
        <v>968.76</v>
      </c>
      <c r="G11" s="24" t="n">
        <v>0.1472333201810842</v>
      </c>
    </row>
    <row r="12">
      <c r="A12" s="4" t="n">
        <v>9</v>
      </c>
      <c r="B12" s="20" t="inlineStr">
        <is>
          <t>Fórmula Infantil Nanlac Supreme Pro 1 A 3 Anos Lata 800g</t>
        </is>
      </c>
      <c r="C12" s="20" t="inlineStr">
        <is>
          <t>Leites</t>
        </is>
      </c>
      <c r="D12" s="20" t="inlineStr">
        <is>
          <t>Fórmula Infantil</t>
        </is>
      </c>
      <c r="E12" s="20" t="inlineStr">
        <is>
          <t>Nanlac</t>
        </is>
      </c>
      <c r="F12" s="5" t="n">
        <v>307.47</v>
      </c>
      <c r="G12" s="21" t="n">
        <v>0.47247550483435</v>
      </c>
    </row>
    <row r="13"/>
    <row r="14"/>
    <row r="15">
      <c r="A15" s="8" t="n">
        <v>12</v>
      </c>
      <c r="B15" s="23" t="inlineStr">
        <is>
          <t>Queijo Mussarela President Fatiado 300g</t>
        </is>
      </c>
      <c r="C15" s="23" t="inlineStr">
        <is>
          <t>Frios e Laticínios</t>
        </is>
      </c>
      <c r="D15" s="23" t="inlineStr">
        <is>
          <t>Queijos</t>
        </is>
      </c>
      <c r="E15" s="23" t="inlineStr">
        <is>
          <t>Président</t>
        </is>
      </c>
      <c r="F15" s="9" t="n">
        <v>204.8</v>
      </c>
      <c r="G15" s="24" t="n">
        <v>0.7358927753904887</v>
      </c>
    </row>
    <row r="16"/>
    <row r="17"/>
    <row r="18">
      <c r="A18" s="4" t="n">
        <v>15</v>
      </c>
      <c r="B18" s="20" t="inlineStr">
        <is>
          <t>Músculo Bovino Sem Osso</t>
        </is>
      </c>
      <c r="C18" s="20" t="inlineStr">
        <is>
          <t>Carnes, Aves e Peixes</t>
        </is>
      </c>
      <c r="D18" s="20" t="inlineStr">
        <is>
          <t>Bovinos</t>
        </is>
      </c>
      <c r="E18" s="20" t="inlineStr">
        <is>
          <t>Fabricação Própria</t>
        </is>
      </c>
      <c r="F18" s="5" t="n">
        <v>269.9</v>
      </c>
      <c r="G18" s="21" t="n">
        <v>0.5745635501585816</v>
      </c>
    </row>
    <row r="19"/>
    <row r="20"/>
    <row r="21">
      <c r="A21" s="8" t="n">
        <v>18</v>
      </c>
      <c r="B21" s="23" t="inlineStr">
        <is>
          <t>Filé de Salmão Pedaço 500g</t>
        </is>
      </c>
      <c r="C21" s="23" t="inlineStr">
        <is>
          <t>Carnes, Aves e Peixes</t>
        </is>
      </c>
      <c r="D21" s="23" t="inlineStr">
        <is>
          <t>Peixes</t>
        </is>
      </c>
      <c r="E21" s="23" t="inlineStr">
        <is>
          <t>Seara Pescados</t>
        </is>
      </c>
      <c r="F21" s="9" t="n">
        <v>543.66</v>
      </c>
      <c r="G21" s="24" t="n">
        <v>0.3027187783213562</v>
      </c>
    </row>
    <row r="22">
      <c r="A22" s="4" t="n">
        <v>19</v>
      </c>
      <c r="B22" s="20" t="inlineStr">
        <is>
          <t>Antimofo Neutro Secar 180g</t>
        </is>
      </c>
      <c r="C22" s="20" t="inlineStr">
        <is>
          <t>Limpeza</t>
        </is>
      </c>
      <c r="D22" s="20" t="inlineStr">
        <is>
          <t xml:space="preserve">Desodorizadores e Aromatizantes </t>
        </is>
      </c>
      <c r="E22" s="20" t="inlineStr">
        <is>
          <t>Secar</t>
        </is>
      </c>
      <c r="F22" s="5" t="n">
        <v>226.2</v>
      </c>
      <c r="G22" s="21" t="n">
        <v>0.6460118858959735</v>
      </c>
    </row>
    <row r="23">
      <c r="A23" s="8" t="n">
        <v>20</v>
      </c>
      <c r="B23" s="23" t="inlineStr">
        <is>
          <t>Carne Moída de Alcatra Reserva Friboi 400g</t>
        </is>
      </c>
      <c r="C23" s="23" t="inlineStr">
        <is>
          <t>Carnes, Aves e Peixes</t>
        </is>
      </c>
      <c r="D23" s="23" t="inlineStr">
        <is>
          <t>Bovinos</t>
        </is>
      </c>
      <c r="E23" s="23" t="inlineStr">
        <is>
          <t>Friboi</t>
        </is>
      </c>
      <c r="F23" s="9" t="n">
        <v>276.4</v>
      </c>
      <c r="G23" s="24" t="n">
        <v>0.5551657794288761</v>
      </c>
    </row>
    <row r="24">
      <c r="A24" s="4" t="n">
        <v>21</v>
      </c>
      <c r="B24" s="20" t="inlineStr">
        <is>
          <t>Almôndegas de Carne Bovina Reserva Friboi 360g</t>
        </is>
      </c>
      <c r="C24" s="20" t="inlineStr">
        <is>
          <t>Carnes, Aves e Peixes</t>
        </is>
      </c>
      <c r="D24" s="20" t="inlineStr">
        <is>
          <t>Bovinos</t>
        </is>
      </c>
      <c r="E24" s="20" t="inlineStr">
        <is>
          <t>Friboi</t>
        </is>
      </c>
      <c r="F24" s="5" t="n">
        <v>198.56</v>
      </c>
      <c r="G24" s="21" t="n">
        <v>0.7791586441540406</v>
      </c>
    </row>
    <row r="25">
      <c r="A25" s="8" t="n">
        <v>22</v>
      </c>
      <c r="B25" s="23" t="inlineStr">
        <is>
          <t>Pao Sab.De France Rustico Kg</t>
        </is>
      </c>
      <c r="C25" s="23" t="inlineStr">
        <is>
          <t>Padaria</t>
        </is>
      </c>
      <c r="D25" s="23" t="inlineStr">
        <is>
          <t>Pães</t>
        </is>
      </c>
      <c r="E25" s="23" t="inlineStr">
        <is>
          <t>Fabricação Própria</t>
        </is>
      </c>
      <c r="F25" s="9" t="n">
        <v>214.55</v>
      </c>
      <c r="G25" s="24" t="n">
        <v>0.6769477007640521</v>
      </c>
    </row>
    <row r="26">
      <c r="A26" s="4" t="n">
        <v>23</v>
      </c>
      <c r="B26" s="20" t="inlineStr">
        <is>
          <t>Filé de Coxas e Sobrecoxas Lar Iqf 1kg</t>
        </is>
      </c>
      <c r="C26" s="20" t="inlineStr">
        <is>
          <t>Carnes, Aves e Peixes</t>
        </is>
      </c>
      <c r="D26" s="20" t="inlineStr">
        <is>
          <t>Aves</t>
        </is>
      </c>
      <c r="E26" s="20" t="inlineStr">
        <is>
          <t>Lar</t>
        </is>
      </c>
      <c r="F26" s="5" t="n">
        <v>449.02</v>
      </c>
      <c r="G26" s="21" t="n">
        <v>0.3737854832229767</v>
      </c>
    </row>
    <row r="27">
      <c r="A27" s="8" t="n">
        <v>24</v>
      </c>
      <c r="B27" s="23" t="inlineStr">
        <is>
          <t>Ovos Vermelhos Grandes Mantiqueira Happy Eggs 20 Unidades</t>
        </is>
      </c>
      <c r="C27" s="23" t="inlineStr">
        <is>
          <t>Feira</t>
        </is>
      </c>
      <c r="D27" s="23" t="inlineStr">
        <is>
          <t>Ovos</t>
        </is>
      </c>
      <c r="E27" s="23" t="inlineStr">
        <is>
          <t>Mantiqueira</t>
        </is>
      </c>
      <c r="F27" s="9" t="n">
        <v>259.08</v>
      </c>
      <c r="G27" s="24" t="n">
        <v>0.5931836851739654</v>
      </c>
    </row>
    <row r="28"/>
    <row r="29"/>
    <row r="30">
      <c r="A30" s="4" t="n">
        <v>27</v>
      </c>
      <c r="B30" s="20" t="inlineStr">
        <is>
          <t>Iogurte Desnatado Morango Zero Lactose Verde Campo Natural Whey 15g de Proteína Frasco 250g</t>
        </is>
      </c>
      <c r="C30" s="20" t="inlineStr">
        <is>
          <t>Iogurte e Bebida Láctea, Leites em Pó e Leites Especiais</t>
        </is>
      </c>
      <c r="D30" s="20" t="inlineStr">
        <is>
          <t>Iogurtes e Bebida Láctea</t>
        </is>
      </c>
      <c r="E30" s="20" t="inlineStr">
        <is>
          <t>Verde Campo</t>
        </is>
      </c>
      <c r="F30" s="5" t="n">
        <v>252.89</v>
      </c>
      <c r="G30" s="21" t="n">
        <v>0.6297548435133896</v>
      </c>
    </row>
    <row r="31">
      <c r="A31" s="8" t="n">
        <v>28</v>
      </c>
      <c r="B31" s="23" t="inlineStr">
        <is>
          <t>Espumante Cave Geisse Nature Garrafa 750ml</t>
        </is>
      </c>
      <c r="C31" s="23" t="inlineStr">
        <is>
          <t>Vinhos, Destilados e Drinks Prontos</t>
        </is>
      </c>
      <c r="D31" s="23" t="inlineStr">
        <is>
          <t>Vinhos</t>
        </is>
      </c>
      <c r="E31" s="23" t="inlineStr">
        <is>
          <t>CAVE GEISSE</t>
        </is>
      </c>
      <c r="F31" s="9" t="n">
        <v>205.09</v>
      </c>
      <c r="G31" s="24" t="n">
        <v>0.7211737555852139</v>
      </c>
    </row>
    <row r="32">
      <c r="A32" s="4" t="n">
        <v>29</v>
      </c>
      <c r="B32" s="20" t="inlineStr">
        <is>
          <t>Espumante Casa Valduga 130 Brut Garrafa 750ml</t>
        </is>
      </c>
      <c r="C32" s="20" t="inlineStr">
        <is>
          <t>Vinhos, Destilados e Drinks Prontos</t>
        </is>
      </c>
      <c r="D32" s="20" t="inlineStr">
        <is>
          <t>Vinhos</t>
        </is>
      </c>
      <c r="E32" s="20" t="inlineStr">
        <is>
          <t>Casa Valduga</t>
        </is>
      </c>
      <c r="F32" s="5" t="n">
        <v>215.89</v>
      </c>
      <c r="G32" s="21" t="n">
        <v>0.661527946373321</v>
      </c>
    </row>
    <row r="33">
      <c r="A33" s="8" t="n">
        <v>30</v>
      </c>
      <c r="B33" s="23" t="inlineStr">
        <is>
          <t>File Mignon</t>
        </is>
      </c>
      <c r="C33" s="23" t="inlineStr">
        <is>
          <t>Carnes, Aves e Peixes</t>
        </is>
      </c>
      <c r="D33" s="23" t="inlineStr">
        <is>
          <t>Bovinos</t>
        </is>
      </c>
      <c r="E33" s="23" t="inlineStr">
        <is>
          <t>Açougue</t>
        </is>
      </c>
      <c r="F33" s="9" t="n">
        <v>1079.84</v>
      </c>
      <c r="G33" s="24" t="n">
        <v>0.07760833177015618</v>
      </c>
    </row>
    <row r="34">
      <c r="A34" s="4" t="n">
        <v>31</v>
      </c>
      <c r="B34" s="20" t="inlineStr">
        <is>
          <t>Peito de Frango em Tiras Grelhado Congelado Nat 400g</t>
        </is>
      </c>
      <c r="C34" s="20" t="inlineStr">
        <is>
          <t>Carnes, Aves e Peixes</t>
        </is>
      </c>
      <c r="D34" s="20" t="inlineStr">
        <is>
          <t>Aves</t>
        </is>
      </c>
      <c r="E34" s="20" t="inlineStr">
        <is>
          <t>Nat</t>
        </is>
      </c>
      <c r="F34" s="5" t="n">
        <v>317.38</v>
      </c>
      <c r="G34" s="21" t="n">
        <v>0.4503775701686866</v>
      </c>
    </row>
    <row r="35"/>
    <row r="36"/>
    <row r="37">
      <c r="A37" s="8" t="n">
        <v>34</v>
      </c>
      <c r="B37" s="23" t="inlineStr">
        <is>
          <t>Burguer Amazonika 230g</t>
        </is>
      </c>
      <c r="C37" s="23" t="inlineStr">
        <is>
          <t>Congelados e Resfriados</t>
        </is>
      </c>
      <c r="D37" s="23" t="inlineStr">
        <is>
          <t>Hambúrgueres</t>
        </is>
      </c>
      <c r="E37" s="23" t="inlineStr">
        <is>
          <t>New</t>
        </is>
      </c>
      <c r="F37" s="9" t="n">
        <v>198.64</v>
      </c>
      <c r="G37" s="24" t="n">
        <v>0.7648880944834577</v>
      </c>
    </row>
    <row r="38"/>
    <row r="39"/>
    <row r="40">
      <c r="A40" s="4" t="n">
        <v>37</v>
      </c>
      <c r="B40" s="20" t="inlineStr">
        <is>
          <t>Suco de Tangerina Integral Villa Piva 300ml</t>
        </is>
      </c>
      <c r="C40" s="20" t="inlineStr">
        <is>
          <t>Bebidas</t>
        </is>
      </c>
      <c r="D40" s="20" t="inlineStr">
        <is>
          <t>Sucos</t>
        </is>
      </c>
      <c r="E40" s="20" t="inlineStr">
        <is>
          <t>Villa Piva</t>
        </is>
      </c>
      <c r="F40" s="5" t="n">
        <v>194.28</v>
      </c>
      <c r="G40" s="21" t="n">
        <v>0.8071111264434231</v>
      </c>
    </row>
    <row r="41">
      <c r="A41" s="8" t="n">
        <v>38</v>
      </c>
      <c r="B41" s="23" t="inlineStr">
        <is>
          <t>Picanha 1953 Kg</t>
        </is>
      </c>
      <c r="C41" s="23" t="inlineStr">
        <is>
          <t>Carnes, Aves e Peixes</t>
        </is>
      </c>
      <c r="D41" s="23" t="inlineStr">
        <is>
          <t>Bovinos</t>
        </is>
      </c>
      <c r="E41" s="23" t="inlineStr">
        <is>
          <t>Friboi</t>
        </is>
      </c>
      <c r="F41" s="9" t="n">
        <v>205.18</v>
      </c>
      <c r="G41" s="24" t="n">
        <v>0.6916940312506062</v>
      </c>
    </row>
    <row r="42">
      <c r="A42" s="4" t="n">
        <v>39</v>
      </c>
      <c r="B42" s="20" t="inlineStr">
        <is>
          <t>File Mignon Peca Inteira Kg</t>
        </is>
      </c>
      <c r="C42" s="20" t="inlineStr">
        <is>
          <t>Bazar e Utilidades</t>
        </is>
      </c>
      <c r="D42" s="20" t="inlineStr">
        <is>
          <t>Utensílios Diversos</t>
        </is>
      </c>
      <c r="E42" s="20" t="inlineStr">
        <is>
          <t>Friboi</t>
        </is>
      </c>
      <c r="F42" s="5" t="n">
        <v>404.94</v>
      </c>
      <c r="G42" s="21" t="n">
        <v>0.4028886076367852</v>
      </c>
    </row>
    <row r="43"/>
    <row r="44">
      <c r="A44" s="4" t="n">
        <v>41</v>
      </c>
      <c r="B44" s="20" t="inlineStr">
        <is>
          <t>Espumante Cava Codorniu Clasico Rosado 750ml</t>
        </is>
      </c>
      <c r="C44" s="20" t="inlineStr">
        <is>
          <t>Vinhos, Destilados e Drinks Prontos</t>
        </is>
      </c>
      <c r="D44" s="20" t="inlineStr">
        <is>
          <t>Vinhos</t>
        </is>
      </c>
      <c r="E44" s="20" t="inlineStr">
        <is>
          <t>Codorníu</t>
        </is>
      </c>
      <c r="F44" s="5" t="n">
        <v>255.96</v>
      </c>
      <c r="G44" s="21" t="n">
        <v>0.6115795851220032</v>
      </c>
    </row>
    <row r="45">
      <c r="A45" s="8" t="n">
        <v>42</v>
      </c>
      <c r="B45" s="23" t="inlineStr">
        <is>
          <t>File Mignon Peca Inteira Kg</t>
        </is>
      </c>
      <c r="C45" s="23" t="inlineStr">
        <is>
          <t>Bazar e Utilidades</t>
        </is>
      </c>
      <c r="D45" s="23" t="inlineStr">
        <is>
          <t>Utensílios Diversos</t>
        </is>
      </c>
      <c r="E45" s="23" t="inlineStr">
        <is>
          <t>Marca Própria</t>
        </is>
      </c>
      <c r="F45" s="9" t="n">
        <v>674.9</v>
      </c>
      <c r="G45" s="24" t="n">
        <v>0.2636458178363185</v>
      </c>
    </row>
    <row r="46">
      <c r="A46" s="4" t="n">
        <v>43</v>
      </c>
      <c r="B46" s="20" t="inlineStr">
        <is>
          <t>Musculo Sem Osso Kg</t>
        </is>
      </c>
      <c r="C46" s="20" t="inlineStr">
        <is>
          <t>Carnes, Aves e Peixes</t>
        </is>
      </c>
      <c r="D46" s="20" t="inlineStr">
        <is>
          <t>Bovinos</t>
        </is>
      </c>
      <c r="E46" s="20" t="inlineStr">
        <is>
          <t>Marca Própria</t>
        </is>
      </c>
      <c r="F46" s="5" t="n">
        <v>539.8</v>
      </c>
      <c r="G46" s="21" t="n">
        <v>0.3415143197807672</v>
      </c>
    </row>
    <row r="47">
      <c r="A47" s="8" t="n">
        <v>44</v>
      </c>
      <c r="B47" s="23" t="inlineStr">
        <is>
          <t>File Mignon 3/4 Resf.Do Chef</t>
        </is>
      </c>
      <c r="C47" s="23" t="inlineStr">
        <is>
          <t>Bazar e Utilidades</t>
        </is>
      </c>
      <c r="D47" s="23" t="inlineStr">
        <is>
          <t>Utensílios Diversos</t>
        </is>
      </c>
      <c r="E47" s="23" t="inlineStr">
        <is>
          <t>Do Chef</t>
        </is>
      </c>
      <c r="F47" s="9" t="n">
        <v>944.8599999999999</v>
      </c>
      <c r="G47" s="24" t="n">
        <v>0.2151406104799709</v>
      </c>
    </row>
    <row r="48">
      <c r="A48" s="4" t="n">
        <v>45</v>
      </c>
      <c r="B48" s="20" t="inlineStr">
        <is>
          <t>Bombom da Alcatra 1953</t>
        </is>
      </c>
      <c r="C48" s="20" t="inlineStr">
        <is>
          <t>Carnes, Aves e Peixes</t>
        </is>
      </c>
      <c r="D48" s="20" t="inlineStr">
        <is>
          <t>Bovinos</t>
        </is>
      </c>
      <c r="E48" s="20" t="inlineStr">
        <is>
          <t>Açougue</t>
        </is>
      </c>
      <c r="F48" s="5" t="n">
        <v>343.38</v>
      </c>
      <c r="G48" s="21" t="n">
        <v>0.4275674016833442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GMV Faturado</t>
        </is>
      </c>
      <c r="C1" t="inlineStr">
        <is>
          <t>Pedidos</t>
        </is>
      </c>
    </row>
    <row r="2">
      <c r="A2" t="inlineStr">
        <is>
          <t>06/04–12/04</t>
        </is>
      </c>
      <c r="B2" t="n">
        <v>485206.2200000001</v>
      </c>
      <c r="C2" t="n">
        <v>2848</v>
      </c>
    </row>
    <row r="3">
      <c r="A3" t="inlineStr">
        <is>
          <t>13/04–19/04</t>
        </is>
      </c>
      <c r="B3" t="n">
        <v>460916.8199999999</v>
      </c>
      <c r="C3" t="n">
        <v>2759</v>
      </c>
    </row>
    <row r="4">
      <c r="A4" t="inlineStr">
        <is>
          <t>20/04–26/04</t>
        </is>
      </c>
      <c r="B4" t="n">
        <v>457662.57</v>
      </c>
      <c r="C4" t="n">
        <v>2855</v>
      </c>
    </row>
    <row r="5">
      <c r="A5" t="inlineStr">
        <is>
          <t>27/04–03/05</t>
        </is>
      </c>
      <c r="B5" t="n">
        <v>475779.34</v>
      </c>
      <c r="C5" t="n">
        <v>2972</v>
      </c>
    </row>
    <row r="6">
      <c r="A6" t="inlineStr">
        <is>
          <t>04/05–10/05</t>
        </is>
      </c>
      <c r="B6" t="n">
        <v>535249.61</v>
      </c>
      <c r="C6" t="n">
        <v>3275</v>
      </c>
    </row>
    <row r="7">
      <c r="A7" t="inlineStr">
        <is>
          <t>11/05–17/05</t>
        </is>
      </c>
      <c r="B7" t="n">
        <v>519706.5500000001</v>
      </c>
      <c r="C7" t="n">
        <v>3200</v>
      </c>
    </row>
    <row r="8">
      <c r="A8" t="inlineStr">
        <is>
          <t>18/05–24/05</t>
        </is>
      </c>
      <c r="B8" t="n">
        <v>516390.75</v>
      </c>
      <c r="C8" t="n">
        <v>3205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Score 18/05–24/05</t>
        </is>
      </c>
      <c r="C1" t="inlineStr">
        <is>
          <t>Score 11/05–17/05</t>
        </is>
      </c>
    </row>
    <row r="2">
      <c r="A2" t="inlineStr">
        <is>
          <t>Cascavel - Centro</t>
        </is>
      </c>
      <c r="B2" t="n">
        <v>41.3</v>
      </c>
      <c r="C2" t="n">
        <v>38.8</v>
      </c>
    </row>
    <row r="3">
      <c r="A3" t="inlineStr">
        <is>
          <t>Tancredo Neves</t>
        </is>
      </c>
      <c r="B3" t="n">
        <v>40.8</v>
      </c>
      <c r="C3" t="n">
        <v>39.9</v>
      </c>
    </row>
    <row r="4">
      <c r="A4" t="inlineStr">
        <is>
          <t>Carlos Gomes</t>
        </is>
      </c>
      <c r="B4" t="n">
        <v>34.8</v>
      </c>
      <c r="C4" t="n">
        <v>21.6</v>
      </c>
    </row>
    <row r="5">
      <c r="A5" t="inlineStr">
        <is>
          <t>Faculdade</t>
        </is>
      </c>
      <c r="B5" t="n">
        <v>31.4</v>
      </c>
      <c r="C5" t="n">
        <v>26.2</v>
      </c>
    </row>
    <row r="6">
      <c r="A6" t="inlineStr">
        <is>
          <t>Av Brasil</t>
        </is>
      </c>
      <c r="B6" t="n">
        <v>31.3</v>
      </c>
      <c r="C6" t="n">
        <v>52.6</v>
      </c>
    </row>
    <row r="7">
      <c r="A7" t="inlineStr">
        <is>
          <t>Republica Argentina</t>
        </is>
      </c>
      <c r="B7" t="n">
        <v>26.7</v>
      </c>
      <c r="C7" t="n">
        <v>31.7</v>
      </c>
    </row>
    <row r="8">
      <c r="A8" t="inlineStr">
        <is>
          <t>Parque Tingui</t>
        </is>
      </c>
      <c r="B8" t="n">
        <v>24.8</v>
      </c>
      <c r="C8" t="n">
        <v>32.8</v>
      </c>
    </row>
    <row r="9">
      <c r="A9" t="inlineStr">
        <is>
          <t>São José dos pinhais</t>
        </is>
      </c>
      <c r="B9" t="n">
        <v>19.1</v>
      </c>
      <c r="C9" t="n">
        <v>19.8</v>
      </c>
    </row>
    <row r="10">
      <c r="A10" t="inlineStr">
        <is>
          <t>São Lourenço</t>
        </is>
      </c>
      <c r="B10" t="n">
        <v>16</v>
      </c>
      <c r="C10" t="n">
        <v>14.8</v>
      </c>
    </row>
    <row r="11">
      <c r="A11" t="inlineStr">
        <is>
          <t>Pinhais</t>
        </is>
      </c>
      <c r="B11" t="n">
        <v>15.8</v>
      </c>
      <c r="C11" t="n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GMV FAT</t>
        </is>
      </c>
    </row>
    <row r="2">
      <c r="A2" t="inlineStr">
        <is>
          <t>Republica Argentina</t>
        </is>
      </c>
      <c r="B2" t="n">
        <v>157579.3</v>
      </c>
    </row>
    <row r="3">
      <c r="A3" t="inlineStr">
        <is>
          <t>São Lourenço</t>
        </is>
      </c>
      <c r="B3" t="n">
        <v>82196.99000000002</v>
      </c>
    </row>
    <row r="4">
      <c r="A4" t="inlineStr">
        <is>
          <t>Parque Tingui</t>
        </is>
      </c>
      <c r="B4" t="n">
        <v>73191.42</v>
      </c>
    </row>
    <row r="5">
      <c r="A5" t="inlineStr">
        <is>
          <t>São José dos pinhais</t>
        </is>
      </c>
      <c r="B5" t="n">
        <v>49171.77</v>
      </c>
    </row>
    <row r="6">
      <c r="A6" t="inlineStr">
        <is>
          <t>Cascavel - Centro</t>
        </is>
      </c>
      <c r="B6" t="n">
        <v>46468.02</v>
      </c>
    </row>
    <row r="7">
      <c r="A7" t="inlineStr">
        <is>
          <t>Av Brasil</t>
        </is>
      </c>
      <c r="B7" t="n">
        <v>30475.12</v>
      </c>
    </row>
    <row r="8">
      <c r="A8" t="inlineStr">
        <is>
          <t>Pinhais</t>
        </is>
      </c>
      <c r="B8" t="n">
        <v>28595.94</v>
      </c>
    </row>
    <row r="9">
      <c r="A9" t="inlineStr">
        <is>
          <t>Tancredo Neves</t>
        </is>
      </c>
      <c r="B9" t="n">
        <v>20646.99</v>
      </c>
    </row>
    <row r="10">
      <c r="A10" t="inlineStr">
        <is>
          <t>Faculdade</t>
        </is>
      </c>
      <c r="B10" t="n">
        <v>15802.83</v>
      </c>
    </row>
    <row r="11">
      <c r="A11" t="inlineStr">
        <is>
          <t>Carlos Gomes</t>
        </is>
      </c>
      <c r="B11" t="n">
        <v>12262.37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2026-05-25T14:32:21Z</dcterms:created>
  <dcterms:modified xsi:type="dcterms:W3CDTF">2026-05-25T14:32:22Z</dcterms:modified>
</cp:coreProperties>
</file>