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KPIs do Grupo" sheetId="1" state="visible" r:id="rId1"/>
    <sheet name="🏪 Posicionamento Lojas" sheetId="2" state="visible" r:id="rId2"/>
    <sheet name="🔴 Ruptura Top 50 Itens" sheetId="3" state="visible" r:id="rId3"/>
    <sheet name="🚨 Alertas &amp; Destaques" sheetId="4" state="visible" r:id="rId4"/>
    <sheet name="📦 GMV CAP vs FAT" sheetId="5" state="visible" r:id="rId5"/>
    <sheet name="⚙️ Métricas por Loja" sheetId="6" state="visible" r:id="rId6"/>
    <sheet name="🏆 Ranking Pior → Melhor" sheetId="7" state="visible" r:id="rId7"/>
    <sheet name="🔍 Itens Rupturados Pareto 80%" sheetId="8" state="visible" r:id="rId8"/>
    <sheet name="_CD1" sheetId="9" state="hidden" r:id="rId9"/>
    <sheet name="_CD2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%&quot;"/>
    <numFmt numFmtId="165" formatCode="0.0&quot;%&quot;"/>
    <numFmt numFmtId="166" formatCode="0.0"/>
    <numFmt numFmtId="167" formatCode="0.0%"/>
    <numFmt numFmtId="168" formatCode="+0.0;-0.0;0.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7AE60"/>
      <sz val="12"/>
    </font>
    <font>
      <name val="Calibri"/>
      <b val="1"/>
      <color rgb="00FFFFFF"/>
      <sz val="13"/>
    </font>
  </fonts>
  <fills count="17">
    <fill>
      <patternFill/>
    </fill>
    <fill>
      <patternFill patternType="gray125"/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DF0F3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ABEBC6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B7950B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4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 wrapText="1"/>
    </xf>
    <xf numFmtId="167" fontId="6" fillId="6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left" vertical="center"/>
    </xf>
    <xf numFmtId="166" fontId="5" fillId="5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8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bgColor rgb="00ABEBC6"/>
        </patternFill>
      </fill>
    </dxf>
    <dxf>
      <fill>
        <patternFill patternType="solid">
          <bgColor rgb="00FAD7A0"/>
        </patternFill>
      </fill>
    </dxf>
    <dxf>
      <fill>
        <patternFill patternType="solid"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GMV Faturado por Semana — JACOMAR</a:t>
            </a:r>
          </a:p>
        </rich>
      </tx>
    </title>
    <plotArea>
      <lineChart>
        <grouping val="standard"/>
        <ser>
          <idx val="0"/>
          <order val="0"/>
          <tx>
            <strRef>
              <f>'_CD1'!B1</f>
            </strRef>
          </tx>
          <spPr>
            <a:ln w="25000">
              <a:solidFill>
                <a:srgbClr val="2980B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'_CD1'!$A$2:$A$10</f>
            </numRef>
          </cat>
          <val>
            <numRef>
              <f>'_CD1'!$B$2:$B$10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GMV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SLA % por Loja — 18/05–24/05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'_CD2'!D1</f>
            </strRef>
          </tx>
          <spPr>
            <a:solidFill>
              <a:srgbClr val="1E8449"/>
            </a:solidFill>
            <a:ln>
              <a:prstDash val="solid"/>
            </a:ln>
          </spPr>
          <cat>
            <numRef>
              <f>'_CD2'!$A$2:$A$8</f>
            </numRef>
          </cat>
          <val>
            <numRef>
              <f>'_CD2'!$D$2:$D$8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SLA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Criticidade 11/05–17/05 vs 18/05–24/05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'_CD2'!B1</f>
            </strRef>
          </tx>
          <spPr>
            <a:solidFill>
              <a:srgbClr val="AED6F1"/>
            </a:solidFill>
            <a:ln>
              <a:prstDash val="solid"/>
            </a:ln>
          </spPr>
          <cat>
            <numRef>
              <f>'_CD2'!$A$2:$A$8</f>
            </numRef>
          </cat>
          <val>
            <numRef>
              <f>'_CD2'!$B$2:$B$8</f>
            </numRef>
          </val>
        </ser>
        <ser>
          <idx val="1"/>
          <order val="1"/>
          <tx>
            <strRef>
              <f>'_CD2'!C1</f>
            </strRef>
          </tx>
          <spPr>
            <a:solidFill>
              <a:srgbClr val="2980B9"/>
            </a:solidFill>
            <a:ln>
              <a:prstDash val="solid"/>
            </a:ln>
          </spPr>
          <cat>
            <numRef>
              <f>'_CD2'!$A$2:$A$8</f>
            </numRef>
          </cat>
          <val>
            <numRef>
              <f>'_CD2'!$C$2:$C$8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Loja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📊 JACOMAR | KPIs do Grupo | 23/03 – 24/05/2026</t>
        </is>
      </c>
    </row>
    <row r="2" ht="14" customHeight="1">
      <c r="A2" s="2" t="inlineStr">
        <is>
          <t>Métricas consolidadas por semana — todas as lojas</t>
        </is>
      </c>
    </row>
    <row r="3" ht="20" customHeight="1">
      <c r="A3" s="3" t="inlineStr">
        <is>
          <t>Métrica</t>
        </is>
      </c>
      <c r="B3" s="4" t="inlineStr">
        <is>
          <t>23/03–29/03</t>
        </is>
      </c>
      <c r="C3" s="4" t="inlineStr">
        <is>
          <t>30/03–05/04</t>
        </is>
      </c>
      <c r="D3" s="4" t="inlineStr">
        <is>
          <t>06/04–12/04</t>
        </is>
      </c>
      <c r="E3" s="4" t="inlineStr">
        <is>
          <t>13/04–19/04</t>
        </is>
      </c>
      <c r="F3" s="4" t="inlineStr">
        <is>
          <t>20/04–26/04</t>
        </is>
      </c>
      <c r="G3" s="4" t="inlineStr">
        <is>
          <t>27/04–03/05</t>
        </is>
      </c>
      <c r="H3" s="4" t="inlineStr">
        <is>
          <t>04/05–10/05</t>
        </is>
      </c>
      <c r="I3" s="4" t="inlineStr">
        <is>
          <t>11/05–17/05</t>
        </is>
      </c>
      <c r="J3" s="4" t="inlineStr">
        <is>
          <t>18/05–24/05</t>
        </is>
      </c>
    </row>
    <row r="4" ht="18" customHeight="1">
      <c r="A4" s="5" t="inlineStr">
        <is>
          <t>GMV Faturado (R$)</t>
        </is>
      </c>
      <c r="B4" s="6" t="n">
        <v>326986.58</v>
      </c>
      <c r="C4" s="6" t="n">
        <v>398914.79</v>
      </c>
      <c r="D4" s="6" t="n">
        <v>319185.8700000001</v>
      </c>
      <c r="E4" s="6" t="n">
        <v>311298.27</v>
      </c>
      <c r="F4" s="6" t="n">
        <v>314481.42</v>
      </c>
      <c r="G4" s="6" t="n">
        <v>359601.61</v>
      </c>
      <c r="H4" s="6" t="n">
        <v>386166.73</v>
      </c>
      <c r="I4" s="6" t="n">
        <v>330062.51</v>
      </c>
      <c r="J4" s="6" t="n">
        <v>309574.78</v>
      </c>
    </row>
    <row r="5" ht="18" customHeight="1">
      <c r="A5" s="7" t="inlineStr">
        <is>
          <t>GMV CAP (R$)</t>
        </is>
      </c>
      <c r="B5" s="8" t="n">
        <v>349389.1199999999</v>
      </c>
      <c r="C5" s="8" t="n">
        <v>442439.52</v>
      </c>
      <c r="D5" s="8" t="n">
        <v>355754.92</v>
      </c>
      <c r="E5" s="8" t="n">
        <v>337084.36</v>
      </c>
      <c r="F5" s="8" t="n">
        <v>346427.11</v>
      </c>
      <c r="G5" s="8" t="n">
        <v>401898.06</v>
      </c>
      <c r="H5" s="8" t="n">
        <v>446602.3</v>
      </c>
      <c r="I5" s="8" t="n">
        <v>364376.08</v>
      </c>
      <c r="J5" s="8" t="n">
        <v>335867.7</v>
      </c>
    </row>
    <row r="6" ht="18" customHeight="1">
      <c r="A6" s="5" t="inlineStr">
        <is>
          <t>Pedidos</t>
        </is>
      </c>
      <c r="B6" s="9" t="n">
        <v>2738</v>
      </c>
      <c r="C6" s="9" t="n">
        <v>3180</v>
      </c>
      <c r="D6" s="9" t="n">
        <v>2571</v>
      </c>
      <c r="E6" s="9" t="n">
        <v>2565</v>
      </c>
      <c r="F6" s="9" t="n">
        <v>2668</v>
      </c>
      <c r="G6" s="9" t="n">
        <v>2930</v>
      </c>
      <c r="H6" s="9" t="n">
        <v>3010</v>
      </c>
      <c r="I6" s="9" t="n">
        <v>2778</v>
      </c>
      <c r="J6" s="9" t="n">
        <v>2624</v>
      </c>
    </row>
    <row r="7" ht="18" customHeight="1">
      <c r="A7" s="7" t="inlineStr">
        <is>
          <t>SLA % (pond.)</t>
        </is>
      </c>
      <c r="B7" s="10" t="n">
        <v>87.58</v>
      </c>
      <c r="C7" s="10" t="n">
        <v>91.76000000000001</v>
      </c>
      <c r="D7" s="10" t="n">
        <v>94.44</v>
      </c>
      <c r="E7" s="10" t="n">
        <v>94</v>
      </c>
      <c r="F7" s="10" t="n">
        <v>93.84999999999999</v>
      </c>
      <c r="G7" s="10" t="n">
        <v>87.78</v>
      </c>
      <c r="H7" s="10" t="n">
        <v>82.95999999999999</v>
      </c>
      <c r="I7" s="10" t="n">
        <v>90.09999999999999</v>
      </c>
      <c r="J7" s="10" t="n">
        <v>93.14</v>
      </c>
    </row>
    <row r="8" ht="18" customHeight="1">
      <c r="A8" s="5" t="inlineStr">
        <is>
          <t>NSU % &gt;15min</t>
        </is>
      </c>
      <c r="B8" s="11" t="n">
        <v>1.78</v>
      </c>
      <c r="C8" s="11" t="n">
        <v>2.16</v>
      </c>
      <c r="D8" s="11" t="n">
        <v>1.52</v>
      </c>
      <c r="E8" s="11" t="n">
        <v>1.09</v>
      </c>
      <c r="F8" s="11" t="n">
        <v>1.79</v>
      </c>
      <c r="G8" s="11" t="n">
        <v>1.67</v>
      </c>
      <c r="H8" s="11" t="n">
        <v>3.92</v>
      </c>
      <c r="I8" s="11" t="n">
        <v>1.29</v>
      </c>
      <c r="J8" s="11" t="n">
        <v>0.62</v>
      </c>
    </row>
    <row r="9" ht="18" customHeight="1">
      <c r="A9" s="7" t="inlineStr">
        <is>
          <t>Rupt. Pedido %</t>
        </is>
      </c>
      <c r="B9" s="10" t="n">
        <v>29.66</v>
      </c>
      <c r="C9" s="10" t="n">
        <v>33.4</v>
      </c>
      <c r="D9" s="10" t="n">
        <v>36.44</v>
      </c>
      <c r="E9" s="10" t="n">
        <v>30.81</v>
      </c>
      <c r="F9" s="10" t="n">
        <v>32.87</v>
      </c>
      <c r="G9" s="10" t="n">
        <v>33.85</v>
      </c>
      <c r="H9" s="10" t="n">
        <v>37.14</v>
      </c>
      <c r="I9" s="10" t="n">
        <v>39.02</v>
      </c>
      <c r="J9" s="10" t="n">
        <v>32.15</v>
      </c>
    </row>
    <row r="10" ht="18" customHeight="1">
      <c r="A10" s="5" t="inlineStr">
        <is>
          <t>Rupt. Item %</t>
        </is>
      </c>
      <c r="B10" s="11" t="n">
        <v>4.32</v>
      </c>
      <c r="C10" s="11" t="n">
        <v>5.11</v>
      </c>
      <c r="D10" s="11" t="n">
        <v>5.39</v>
      </c>
      <c r="E10" s="11" t="n">
        <v>4.23</v>
      </c>
      <c r="F10" s="11" t="n">
        <v>4.78</v>
      </c>
      <c r="G10" s="11" t="n">
        <v>4.77</v>
      </c>
      <c r="H10" s="11" t="n">
        <v>5.58</v>
      </c>
      <c r="I10" s="11" t="n">
        <v>5.87</v>
      </c>
      <c r="J10" s="11" t="n">
        <v>4.73</v>
      </c>
    </row>
  </sheetData>
  <mergeCells count="2">
    <mergeCell ref="A1:J1"/>
    <mergeCell ref="A2:J2"/>
  </mergeCells>
  <conditionalFormatting sqref="B7">
    <cfRule type="cellIs" priority="1" operator="greaterThanOrEqual" dxfId="0">
      <formula>75</formula>
    </cfRule>
    <cfRule type="cellIs" priority="2" operator="between" dxfId="1">
      <formula>65</formula>
      <formula>74.99</formula>
    </cfRule>
    <cfRule type="cellIs" priority="3" operator="lessThan" dxfId="2">
      <formula>65</formula>
    </cfRule>
  </conditionalFormatting>
  <conditionalFormatting sqref="C7">
    <cfRule type="cellIs" priority="4" operator="greaterThanOrEqual" dxfId="0">
      <formula>75</formula>
    </cfRule>
    <cfRule type="cellIs" priority="5" operator="between" dxfId="1">
      <formula>65</formula>
      <formula>74.99</formula>
    </cfRule>
    <cfRule type="cellIs" priority="6" operator="lessThan" dxfId="2">
      <formula>65</formula>
    </cfRule>
  </conditionalFormatting>
  <conditionalFormatting sqref="D7">
    <cfRule type="cellIs" priority="7" operator="greaterThanOrEqual" dxfId="0">
      <formula>75</formula>
    </cfRule>
    <cfRule type="cellIs" priority="8" operator="between" dxfId="1">
      <formula>65</formula>
      <formula>74.99</formula>
    </cfRule>
    <cfRule type="cellIs" priority="9" operator="lessThan" dxfId="2">
      <formula>65</formula>
    </cfRule>
  </conditionalFormatting>
  <conditionalFormatting sqref="E7">
    <cfRule type="cellIs" priority="10" operator="greaterThanOrEqual" dxfId="0">
      <formula>75</formula>
    </cfRule>
    <cfRule type="cellIs" priority="11" operator="between" dxfId="1">
      <formula>65</formula>
      <formula>74.99</formula>
    </cfRule>
    <cfRule type="cellIs" priority="12" operator="lessThan" dxfId="2">
      <formula>65</formula>
    </cfRule>
  </conditionalFormatting>
  <conditionalFormatting sqref="F7">
    <cfRule type="cellIs" priority="13" operator="greaterThanOrEqual" dxfId="0">
      <formula>75</formula>
    </cfRule>
    <cfRule type="cellIs" priority="14" operator="between" dxfId="1">
      <formula>65</formula>
      <formula>74.99</formula>
    </cfRule>
    <cfRule type="cellIs" priority="15" operator="lessThan" dxfId="2">
      <formula>65</formula>
    </cfRule>
  </conditionalFormatting>
  <conditionalFormatting sqref="G7">
    <cfRule type="cellIs" priority="16" operator="greaterThanOrEqual" dxfId="0">
      <formula>75</formula>
    </cfRule>
    <cfRule type="cellIs" priority="17" operator="between" dxfId="1">
      <formula>65</formula>
      <formula>74.99</formula>
    </cfRule>
    <cfRule type="cellIs" priority="18" operator="lessThan" dxfId="2">
      <formula>65</formula>
    </cfRule>
  </conditionalFormatting>
  <conditionalFormatting sqref="H7">
    <cfRule type="cellIs" priority="19" operator="greaterThanOrEqual" dxfId="0">
      <formula>75</formula>
    </cfRule>
    <cfRule type="cellIs" priority="20" operator="between" dxfId="1">
      <formula>65</formula>
      <formula>74.99</formula>
    </cfRule>
    <cfRule type="cellIs" priority="21" operator="lessThan" dxfId="2">
      <formula>65</formula>
    </cfRule>
  </conditionalFormatting>
  <conditionalFormatting sqref="I7">
    <cfRule type="cellIs" priority="22" operator="greaterThanOrEqual" dxfId="0">
      <formula>75</formula>
    </cfRule>
    <cfRule type="cellIs" priority="23" operator="between" dxfId="1">
      <formula>65</formula>
      <formula>74.99</formula>
    </cfRule>
    <cfRule type="cellIs" priority="24" operator="lessThan" dxfId="2">
      <formula>65</formula>
    </cfRule>
  </conditionalFormatting>
  <conditionalFormatting sqref="J7">
    <cfRule type="cellIs" priority="25" operator="greaterThanOrEqual" dxfId="0">
      <formula>75</formula>
    </cfRule>
    <cfRule type="cellIs" priority="26" operator="between" dxfId="1">
      <formula>65</formula>
      <formula>74.99</formula>
    </cfRule>
    <cfRule type="cellIs" priority="27" operator="lessThan" dxfId="2">
      <formula>65</formula>
    </cfRule>
  </conditionalFormatting>
  <conditionalFormatting sqref="B8">
    <cfRule type="cellIs" priority="28" operator="lessThanOrEqual" dxfId="0">
      <formula>5</formula>
    </cfRule>
    <cfRule type="cellIs" priority="29" operator="between" dxfId="1">
      <formula>5.01</formula>
      <formula>15</formula>
    </cfRule>
    <cfRule type="cellIs" priority="30" operator="greaterThan" dxfId="2">
      <formula>15</formula>
    </cfRule>
  </conditionalFormatting>
  <conditionalFormatting sqref="C8">
    <cfRule type="cellIs" priority="31" operator="lessThanOrEqual" dxfId="0">
      <formula>5</formula>
    </cfRule>
    <cfRule type="cellIs" priority="32" operator="between" dxfId="1">
      <formula>5.01</formula>
      <formula>15</formula>
    </cfRule>
    <cfRule type="cellIs" priority="33" operator="greaterThan" dxfId="2">
      <formula>15</formula>
    </cfRule>
  </conditionalFormatting>
  <conditionalFormatting sqref="D8">
    <cfRule type="cellIs" priority="34" operator="lessThanOrEqual" dxfId="0">
      <formula>5</formula>
    </cfRule>
    <cfRule type="cellIs" priority="35" operator="between" dxfId="1">
      <formula>5.01</formula>
      <formula>15</formula>
    </cfRule>
    <cfRule type="cellIs" priority="36" operator="greaterThan" dxfId="2">
      <formula>15</formula>
    </cfRule>
  </conditionalFormatting>
  <conditionalFormatting sqref="E8">
    <cfRule type="cellIs" priority="37" operator="lessThanOrEqual" dxfId="0">
      <formula>5</formula>
    </cfRule>
    <cfRule type="cellIs" priority="38" operator="between" dxfId="1">
      <formula>5.01</formula>
      <formula>15</formula>
    </cfRule>
    <cfRule type="cellIs" priority="39" operator="greaterThan" dxfId="2">
      <formula>15</formula>
    </cfRule>
  </conditionalFormatting>
  <conditionalFormatting sqref="F8">
    <cfRule type="cellIs" priority="40" operator="lessThanOrEqual" dxfId="0">
      <formula>5</formula>
    </cfRule>
    <cfRule type="cellIs" priority="41" operator="between" dxfId="1">
      <formula>5.01</formula>
      <formula>15</formula>
    </cfRule>
    <cfRule type="cellIs" priority="42" operator="greaterThan" dxfId="2">
      <formula>15</formula>
    </cfRule>
  </conditionalFormatting>
  <conditionalFormatting sqref="G8">
    <cfRule type="cellIs" priority="43" operator="lessThanOrEqual" dxfId="0">
      <formula>5</formula>
    </cfRule>
    <cfRule type="cellIs" priority="44" operator="between" dxfId="1">
      <formula>5.01</formula>
      <formula>15</formula>
    </cfRule>
    <cfRule type="cellIs" priority="45" operator="greaterThan" dxfId="2">
      <formula>15</formula>
    </cfRule>
  </conditionalFormatting>
  <conditionalFormatting sqref="H8">
    <cfRule type="cellIs" priority="46" operator="lessThanOrEqual" dxfId="0">
      <formula>5</formula>
    </cfRule>
    <cfRule type="cellIs" priority="47" operator="between" dxfId="1">
      <formula>5.01</formula>
      <formula>15</formula>
    </cfRule>
    <cfRule type="cellIs" priority="48" operator="greaterThan" dxfId="2">
      <formula>15</formula>
    </cfRule>
  </conditionalFormatting>
  <conditionalFormatting sqref="I8">
    <cfRule type="cellIs" priority="49" operator="lessThanOrEqual" dxfId="0">
      <formula>5</formula>
    </cfRule>
    <cfRule type="cellIs" priority="50" operator="between" dxfId="1">
      <formula>5.01</formula>
      <formula>15</formula>
    </cfRule>
    <cfRule type="cellIs" priority="51" operator="greaterThan" dxfId="2">
      <formula>15</formula>
    </cfRule>
  </conditionalFormatting>
  <conditionalFormatting sqref="J8">
    <cfRule type="cellIs" priority="52" operator="lessThanOrEqual" dxfId="0">
      <formula>5</formula>
    </cfRule>
    <cfRule type="cellIs" priority="53" operator="between" dxfId="1">
      <formula>5.01</formula>
      <formula>15</formula>
    </cfRule>
    <cfRule type="cellIs" priority="54" operator="greaterThan" dxfId="2">
      <formula>15</formula>
    </cfRule>
  </conditionalFormatting>
  <conditionalFormatting sqref="B9">
    <cfRule type="cellIs" priority="55" operator="lessThanOrEqual" dxfId="0">
      <formula>20</formula>
    </cfRule>
    <cfRule type="cellIs" priority="56" operator="between" dxfId="1">
      <formula>20.01</formula>
      <formula>30</formula>
    </cfRule>
    <cfRule type="cellIs" priority="57" operator="greaterThan" dxfId="2">
      <formula>30</formula>
    </cfRule>
  </conditionalFormatting>
  <conditionalFormatting sqref="C9">
    <cfRule type="cellIs" priority="58" operator="lessThanOrEqual" dxfId="0">
      <formula>20</formula>
    </cfRule>
    <cfRule type="cellIs" priority="59" operator="between" dxfId="1">
      <formula>20.01</formula>
      <formula>30</formula>
    </cfRule>
    <cfRule type="cellIs" priority="60" operator="greaterThan" dxfId="2">
      <formula>30</formula>
    </cfRule>
  </conditionalFormatting>
  <conditionalFormatting sqref="D9">
    <cfRule type="cellIs" priority="61" operator="lessThanOrEqual" dxfId="0">
      <formula>20</formula>
    </cfRule>
    <cfRule type="cellIs" priority="62" operator="between" dxfId="1">
      <formula>20.01</formula>
      <formula>30</formula>
    </cfRule>
    <cfRule type="cellIs" priority="63" operator="greaterThan" dxfId="2">
      <formula>30</formula>
    </cfRule>
  </conditionalFormatting>
  <conditionalFormatting sqref="E9">
    <cfRule type="cellIs" priority="64" operator="lessThanOrEqual" dxfId="0">
      <formula>20</formula>
    </cfRule>
    <cfRule type="cellIs" priority="65" operator="between" dxfId="1">
      <formula>20.01</formula>
      <formula>30</formula>
    </cfRule>
    <cfRule type="cellIs" priority="66" operator="greaterThan" dxfId="2">
      <formula>30</formula>
    </cfRule>
  </conditionalFormatting>
  <conditionalFormatting sqref="F9">
    <cfRule type="cellIs" priority="67" operator="lessThanOrEqual" dxfId="0">
      <formula>20</formula>
    </cfRule>
    <cfRule type="cellIs" priority="68" operator="between" dxfId="1">
      <formula>20.01</formula>
      <formula>30</formula>
    </cfRule>
    <cfRule type="cellIs" priority="69" operator="greaterThan" dxfId="2">
      <formula>30</formula>
    </cfRule>
  </conditionalFormatting>
  <conditionalFormatting sqref="G9">
    <cfRule type="cellIs" priority="70" operator="lessThanOrEqual" dxfId="0">
      <formula>20</formula>
    </cfRule>
    <cfRule type="cellIs" priority="71" operator="between" dxfId="1">
      <formula>20.01</formula>
      <formula>30</formula>
    </cfRule>
    <cfRule type="cellIs" priority="72" operator="greaterThan" dxfId="2">
      <formula>30</formula>
    </cfRule>
  </conditionalFormatting>
  <conditionalFormatting sqref="H9">
    <cfRule type="cellIs" priority="73" operator="lessThanOrEqual" dxfId="0">
      <formula>20</formula>
    </cfRule>
    <cfRule type="cellIs" priority="74" operator="between" dxfId="1">
      <formula>20.01</formula>
      <formula>30</formula>
    </cfRule>
    <cfRule type="cellIs" priority="75" operator="greaterThan" dxfId="2">
      <formula>30</formula>
    </cfRule>
  </conditionalFormatting>
  <conditionalFormatting sqref="I9">
    <cfRule type="cellIs" priority="76" operator="lessThanOrEqual" dxfId="0">
      <formula>20</formula>
    </cfRule>
    <cfRule type="cellIs" priority="77" operator="between" dxfId="1">
      <formula>20.01</formula>
      <formula>30</formula>
    </cfRule>
    <cfRule type="cellIs" priority="78" operator="greaterThan" dxfId="2">
      <formula>30</formula>
    </cfRule>
  </conditionalFormatting>
  <conditionalFormatting sqref="J9">
    <cfRule type="cellIs" priority="79" operator="lessThanOrEqual" dxfId="0">
      <formula>20</formula>
    </cfRule>
    <cfRule type="cellIs" priority="80" operator="between" dxfId="1">
      <formula>20.01</formula>
      <formula>30</formula>
    </cfRule>
    <cfRule type="cellIs" priority="81" operator="greaterThan" dxfId="2">
      <formula>30</formula>
    </cfRule>
  </conditionalFormatting>
  <conditionalFormatting sqref="B10">
    <cfRule type="cellIs" priority="82" operator="lessThanOrEqual" dxfId="0">
      <formula>20</formula>
    </cfRule>
    <cfRule type="cellIs" priority="83" operator="between" dxfId="1">
      <formula>20.01</formula>
      <formula>30</formula>
    </cfRule>
    <cfRule type="cellIs" priority="84" operator="greaterThan" dxfId="2">
      <formula>30</formula>
    </cfRule>
  </conditionalFormatting>
  <conditionalFormatting sqref="C10">
    <cfRule type="cellIs" priority="85" operator="lessThanOrEqual" dxfId="0">
      <formula>20</formula>
    </cfRule>
    <cfRule type="cellIs" priority="86" operator="between" dxfId="1">
      <formula>20.01</formula>
      <formula>30</formula>
    </cfRule>
    <cfRule type="cellIs" priority="87" operator="greaterThan" dxfId="2">
      <formula>30</formula>
    </cfRule>
  </conditionalFormatting>
  <conditionalFormatting sqref="D10">
    <cfRule type="cellIs" priority="88" operator="lessThanOrEqual" dxfId="0">
      <formula>20</formula>
    </cfRule>
    <cfRule type="cellIs" priority="89" operator="between" dxfId="1">
      <formula>20.01</formula>
      <formula>30</formula>
    </cfRule>
    <cfRule type="cellIs" priority="90" operator="greaterThan" dxfId="2">
      <formula>30</formula>
    </cfRule>
  </conditionalFormatting>
  <conditionalFormatting sqref="E10">
    <cfRule type="cellIs" priority="91" operator="lessThanOrEqual" dxfId="0">
      <formula>20</formula>
    </cfRule>
    <cfRule type="cellIs" priority="92" operator="between" dxfId="1">
      <formula>20.01</formula>
      <formula>30</formula>
    </cfRule>
    <cfRule type="cellIs" priority="93" operator="greaterThan" dxfId="2">
      <formula>30</formula>
    </cfRule>
  </conditionalFormatting>
  <conditionalFormatting sqref="F10">
    <cfRule type="cellIs" priority="94" operator="lessThanOrEqual" dxfId="0">
      <formula>20</formula>
    </cfRule>
    <cfRule type="cellIs" priority="95" operator="between" dxfId="1">
      <formula>20.01</formula>
      <formula>30</formula>
    </cfRule>
    <cfRule type="cellIs" priority="96" operator="greaterThan" dxfId="2">
      <formula>30</formula>
    </cfRule>
  </conditionalFormatting>
  <conditionalFormatting sqref="G10">
    <cfRule type="cellIs" priority="97" operator="lessThanOrEqual" dxfId="0">
      <formula>20</formula>
    </cfRule>
    <cfRule type="cellIs" priority="98" operator="between" dxfId="1">
      <formula>20.01</formula>
      <formula>30</formula>
    </cfRule>
    <cfRule type="cellIs" priority="99" operator="greaterThan" dxfId="2">
      <formula>30</formula>
    </cfRule>
  </conditionalFormatting>
  <conditionalFormatting sqref="H10">
    <cfRule type="cellIs" priority="100" operator="lessThanOrEqual" dxfId="0">
      <formula>20</formula>
    </cfRule>
    <cfRule type="cellIs" priority="101" operator="between" dxfId="1">
      <formula>20.01</formula>
      <formula>30</formula>
    </cfRule>
    <cfRule type="cellIs" priority="102" operator="greaterThan" dxfId="2">
      <formula>30</formula>
    </cfRule>
  </conditionalFormatting>
  <conditionalFormatting sqref="I10">
    <cfRule type="cellIs" priority="103" operator="lessThanOrEqual" dxfId="0">
      <formula>20</formula>
    </cfRule>
    <cfRule type="cellIs" priority="104" operator="between" dxfId="1">
      <formula>20.01</formula>
      <formula>30</formula>
    </cfRule>
    <cfRule type="cellIs" priority="105" operator="greaterThan" dxfId="2">
      <formula>30</formula>
    </cfRule>
  </conditionalFormatting>
  <conditionalFormatting sqref="J10">
    <cfRule type="cellIs" priority="106" operator="lessThanOrEqual" dxfId="0">
      <formula>20</formula>
    </cfRule>
    <cfRule type="cellIs" priority="107" operator="between" dxfId="1">
      <formula>20.01</formula>
      <formula>30</formula>
    </cfRule>
    <cfRule type="cellIs" priority="108" operator="greaterThan" dxfId="2">
      <formula>30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</cols>
  <sheetData>
    <row r="1" ht="30" customHeight="1">
      <c r="A1" s="1" t="inlineStr">
        <is>
          <t>🏪 JACOMAR | Posicionamento das Lojas | 18/05–24/05</t>
        </is>
      </c>
    </row>
    <row r="2">
      <c r="A2" s="2" t="inlineStr">
        <is>
          <t>Score de criticidade — semana mais recente (0 = perfeito, 100 = crítico)</t>
        </is>
      </c>
    </row>
    <row r="3">
      <c r="A3" s="12" t="inlineStr">
        <is>
          <t>Loja</t>
        </is>
      </c>
      <c r="B3" s="12" t="inlineStr">
        <is>
          <t>Cidade</t>
        </is>
      </c>
      <c r="C3" s="12" t="inlineStr">
        <is>
          <t>Pedidos</t>
        </is>
      </c>
      <c r="D3" s="12" t="inlineStr">
        <is>
          <t>SLA %</t>
        </is>
      </c>
      <c r="E3" s="12" t="inlineStr">
        <is>
          <t>NSU %</t>
        </is>
      </c>
      <c r="F3" s="12" t="inlineStr">
        <is>
          <t>Rupt.Pedido %</t>
        </is>
      </c>
      <c r="G3" s="12" t="inlineStr">
        <is>
          <t>Rupt.Item %</t>
        </is>
      </c>
      <c r="H3" s="12" t="inlineStr">
        <is>
          <t>Score</t>
        </is>
      </c>
    </row>
    <row r="4" ht="18" customHeight="1">
      <c r="A4" s="5" t="inlineStr">
        <is>
          <t>Capão Raso</t>
        </is>
      </c>
      <c r="B4" s="13" t="inlineStr">
        <is>
          <t>Curitiba</t>
        </is>
      </c>
      <c r="C4" s="9" t="n">
        <v>540</v>
      </c>
      <c r="D4" s="14" t="n">
        <v>95.56</v>
      </c>
      <c r="E4" s="14" t="n">
        <v>0.37</v>
      </c>
      <c r="F4" s="14" t="n">
        <v>42.96</v>
      </c>
      <c r="G4" s="14" t="n">
        <v>6.46</v>
      </c>
      <c r="H4" s="15" t="n">
        <v>28.7</v>
      </c>
    </row>
    <row r="5" ht="18" customHeight="1">
      <c r="A5" s="7" t="inlineStr">
        <is>
          <t>Colônia Rio Grande</t>
        </is>
      </c>
      <c r="B5" s="16" t="inlineStr">
        <is>
          <t>Sao Jose Dos Pinhais</t>
        </is>
      </c>
      <c r="C5" s="17" t="n">
        <v>307</v>
      </c>
      <c r="D5" s="18" t="n">
        <v>86.97</v>
      </c>
      <c r="E5" s="18" t="n">
        <v>0.33</v>
      </c>
      <c r="F5" s="18" t="n">
        <v>42.35</v>
      </c>
      <c r="G5" s="18" t="n">
        <v>6.67</v>
      </c>
      <c r="H5" s="19" t="n">
        <v>27.94</v>
      </c>
    </row>
    <row r="6" ht="18" customHeight="1">
      <c r="A6" s="5" t="inlineStr">
        <is>
          <t>Br277</t>
        </is>
      </c>
      <c r="B6" s="13" t="inlineStr">
        <is>
          <t>Curitiba</t>
        </is>
      </c>
      <c r="C6" s="9" t="n">
        <v>328</v>
      </c>
      <c r="D6" s="14" t="n">
        <v>95.43000000000001</v>
      </c>
      <c r="E6" s="14" t="n">
        <v>1.52</v>
      </c>
      <c r="F6" s="14" t="n">
        <v>38.72</v>
      </c>
      <c r="G6" s="14" t="n">
        <v>6.31</v>
      </c>
      <c r="H6" s="15" t="n">
        <v>23.4</v>
      </c>
    </row>
    <row r="7" ht="18" customHeight="1">
      <c r="A7" s="7" t="inlineStr">
        <is>
          <t>Pinhais</t>
        </is>
      </c>
      <c r="B7" s="16" t="inlineStr">
        <is>
          <t>Pinhais</t>
        </is>
      </c>
      <c r="C7" s="17" t="n">
        <v>279</v>
      </c>
      <c r="D7" s="18" t="n">
        <v>97.13</v>
      </c>
      <c r="E7" s="18" t="n">
        <v>0.72</v>
      </c>
      <c r="F7" s="18" t="n">
        <v>35.13</v>
      </c>
      <c r="G7" s="18" t="n">
        <v>5.39</v>
      </c>
      <c r="H7" s="19" t="n">
        <v>18.91</v>
      </c>
    </row>
    <row r="8" ht="18" customHeight="1">
      <c r="A8" s="5" t="inlineStr">
        <is>
          <t>Ganchinho</t>
        </is>
      </c>
      <c r="B8" s="13" t="inlineStr">
        <is>
          <t>Curitiba</t>
        </is>
      </c>
      <c r="C8" s="9" t="n">
        <v>172</v>
      </c>
      <c r="D8" s="14" t="n">
        <v>88.95</v>
      </c>
      <c r="E8" s="14" t="n">
        <v>0</v>
      </c>
      <c r="F8" s="14" t="n">
        <v>27.33</v>
      </c>
      <c r="G8" s="14" t="n">
        <v>3.5</v>
      </c>
      <c r="H8" s="15" t="n">
        <v>9.16</v>
      </c>
    </row>
    <row r="9" ht="18" customHeight="1">
      <c r="A9" s="7" t="inlineStr">
        <is>
          <t>Maestro</t>
        </is>
      </c>
      <c r="B9" s="16" t="inlineStr">
        <is>
          <t>Curitiba</t>
        </is>
      </c>
      <c r="C9" s="17" t="n">
        <v>641</v>
      </c>
      <c r="D9" s="18" t="n">
        <v>97.04000000000001</v>
      </c>
      <c r="E9" s="18" t="n">
        <v>0</v>
      </c>
      <c r="F9" s="18" t="n">
        <v>23.4</v>
      </c>
      <c r="G9" s="18" t="n">
        <v>3.13</v>
      </c>
      <c r="H9" s="19" t="n">
        <v>4.25</v>
      </c>
    </row>
    <row r="10" ht="18" customHeight="1">
      <c r="A10" s="5" t="inlineStr">
        <is>
          <t>Fazenda Rio Grande</t>
        </is>
      </c>
      <c r="B10" s="13" t="inlineStr">
        <is>
          <t>Fazenda Rio Grande</t>
        </is>
      </c>
      <c r="C10" s="9" t="n">
        <v>357</v>
      </c>
      <c r="D10" s="14" t="n">
        <v>84.59</v>
      </c>
      <c r="E10" s="14" t="n">
        <v>1.4</v>
      </c>
      <c r="F10" s="14" t="n">
        <v>15.13</v>
      </c>
      <c r="G10" s="14" t="n">
        <v>1.68</v>
      </c>
      <c r="H10" s="15" t="n">
        <v>0</v>
      </c>
    </row>
  </sheetData>
  <mergeCells count="2">
    <mergeCell ref="A2:H2"/>
    <mergeCell ref="A1:H1"/>
  </mergeCells>
  <conditionalFormatting sqref="D4:D10">
    <cfRule type="cellIs" priority="1" operator="greaterThanOrEqual" dxfId="0">
      <formula>75</formula>
    </cfRule>
    <cfRule type="cellIs" priority="2" operator="between" dxfId="1">
      <formula>65</formula>
      <formula>74.99</formula>
    </cfRule>
    <cfRule type="cellIs" priority="3" operator="lessThan" dxfId="2">
      <formula>65</formula>
    </cfRule>
  </conditionalFormatting>
  <conditionalFormatting sqref="E4:E10">
    <cfRule type="cellIs" priority="4" operator="lessThanOrEqual" dxfId="0">
      <formula>5</formula>
    </cfRule>
    <cfRule type="cellIs" priority="5" operator="between" dxfId="1">
      <formula>5.01</formula>
      <formula>15</formula>
    </cfRule>
    <cfRule type="cellIs" priority="6" operator="greaterThan" dxfId="2">
      <formula>15</formula>
    </cfRule>
  </conditionalFormatting>
  <conditionalFormatting sqref="F4:F10">
    <cfRule type="cellIs" priority="7" operator="lessThanOrEqual" dxfId="0">
      <formula>20</formula>
    </cfRule>
    <cfRule type="cellIs" priority="8" operator="between" dxfId="1">
      <formula>20.01</formula>
      <formula>30</formula>
    </cfRule>
    <cfRule type="cellIs" priority="9" operator="greaterThan" dxfId="2">
      <formula>30</formula>
    </cfRule>
  </conditionalFormatting>
  <conditionalFormatting sqref="G4:G10">
    <cfRule type="cellIs" priority="10" operator="lessThanOrEqual" dxfId="0">
      <formula>10</formula>
    </cfRule>
    <cfRule type="cellIs" priority="11" operator="between" dxfId="1">
      <formula>10.01</formula>
      <formula>20</formula>
    </cfRule>
    <cfRule type="cellIs" priority="12" operator="greaterThan" dxfId="2">
      <formula>20</formula>
    </cfRule>
  </conditionalFormatting>
  <conditionalFormatting sqref="H4:H10">
    <cfRule type="cellIs" priority="13" operator="lessThan" dxfId="0">
      <formula>15</formula>
    </cfRule>
    <cfRule type="cellIs" priority="14" operator="between" dxfId="1">
      <formula>15</formula>
      <formula>34.99</formula>
    </cfRule>
    <cfRule type="cellIs" priority="15" operator="greaterThanOrEqual" dxfId="2">
      <formula>35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5" customWidth="1" min="3" max="3"/>
    <col width="16" customWidth="1" min="4" max="4"/>
    <col width="16" customWidth="1" min="5" max="5"/>
    <col width="14" customWidth="1" min="6" max="6"/>
    <col width="25" customWidth="1" min="7" max="7"/>
    <col width="12" customWidth="1" min="8" max="8"/>
    <col width="14" customWidth="1" min="9" max="9"/>
  </cols>
  <sheetData>
    <row r="1" ht="30" customHeight="1">
      <c r="A1" s="1" t="inlineStr">
        <is>
          <t>🔴 JACOMAR | Top 50 Itens Rupturados | 01/05 – 24/05/2026</t>
        </is>
      </c>
    </row>
    <row r="2">
      <c r="A2" s="2" t="inlineStr">
        <is>
          <t>Ordenado por GMV perdido (maior para menor)</t>
        </is>
      </c>
    </row>
    <row r="3">
      <c r="A3" s="12" t="inlineStr">
        <is>
          <t>#</t>
        </is>
      </c>
      <c r="B3" s="12" t="inlineStr">
        <is>
          <t>EAN</t>
        </is>
      </c>
      <c r="C3" s="12" t="inlineStr">
        <is>
          <t>Produto</t>
        </is>
      </c>
      <c r="D3" s="12" t="inlineStr">
        <is>
          <t>Departamento</t>
        </is>
      </c>
      <c r="E3" s="12" t="inlineStr">
        <is>
          <t>Categoria</t>
        </is>
      </c>
      <c r="F3" s="12" t="inlineStr">
        <is>
          <t>Marca</t>
        </is>
      </c>
      <c r="G3" s="12" t="inlineStr">
        <is>
          <t>Loja</t>
        </is>
      </c>
      <c r="H3" s="12" t="inlineStr">
        <is>
          <t>Qtd Rupt.</t>
        </is>
      </c>
      <c r="I3" s="12" t="inlineStr">
        <is>
          <t>GMV Perdido R$</t>
        </is>
      </c>
    </row>
    <row r="4" ht="16" customHeight="1">
      <c r="A4" s="20" t="n">
        <v>1</v>
      </c>
      <c r="B4" s="21" t="inlineStr">
        <is>
          <t>7891000100103</t>
        </is>
      </c>
      <c r="C4" s="13" t="inlineStr">
        <is>
          <t>Café Solúvel Nescafé 200g</t>
        </is>
      </c>
      <c r="D4" s="13" t="inlineStr">
        <is>
          <t>Mercearia</t>
        </is>
      </c>
      <c r="E4" s="13" t="inlineStr">
        <is>
          <t>Café</t>
        </is>
      </c>
      <c r="F4" s="13" t="inlineStr">
        <is>
          <t>Nestlé</t>
        </is>
      </c>
      <c r="G4" s="13" t="inlineStr">
        <is>
          <t>Jacomar - Maestro</t>
        </is>
      </c>
      <c r="H4" s="9" t="n">
        <v>45</v>
      </c>
      <c r="I4" s="6" t="n">
        <v>1820.25</v>
      </c>
    </row>
    <row r="5" ht="16" customHeight="1">
      <c r="A5" s="22" t="n">
        <v>2</v>
      </c>
      <c r="B5" s="23" t="inlineStr">
        <is>
          <t>7891000315507</t>
        </is>
      </c>
      <c r="C5" s="16" t="inlineStr">
        <is>
          <t>Achocolatado Nescau 400g</t>
        </is>
      </c>
      <c r="D5" s="16" t="inlineStr">
        <is>
          <t>Mercearia</t>
        </is>
      </c>
      <c r="E5" s="16" t="inlineStr">
        <is>
          <t>Achocolatado</t>
        </is>
      </c>
      <c r="F5" s="16" t="inlineStr">
        <is>
          <t>Nestlé</t>
        </is>
      </c>
      <c r="G5" s="16" t="inlineStr">
        <is>
          <t>Supermercado Jacomar - Capão Raso</t>
        </is>
      </c>
      <c r="H5" s="17" t="n">
        <v>38</v>
      </c>
      <c r="I5" s="8" t="n">
        <v>1543.6</v>
      </c>
    </row>
    <row r="6" ht="16" customHeight="1">
      <c r="A6" s="20" t="n">
        <v>3</v>
      </c>
      <c r="B6" s="21" t="inlineStr">
        <is>
          <t>7896002300085</t>
        </is>
      </c>
      <c r="C6" s="13" t="inlineStr">
        <is>
          <t>Leite Integral Italac 1L</t>
        </is>
      </c>
      <c r="D6" s="13" t="inlineStr">
        <is>
          <t>Laticínios</t>
        </is>
      </c>
      <c r="E6" s="13" t="inlineStr">
        <is>
          <t>Leite</t>
        </is>
      </c>
      <c r="F6" s="13" t="inlineStr">
        <is>
          <t>Italac</t>
        </is>
      </c>
      <c r="G6" s="13" t="inlineStr">
        <is>
          <t>Jacomar - Maestro</t>
        </is>
      </c>
      <c r="H6" s="9" t="n">
        <v>62</v>
      </c>
      <c r="I6" s="6" t="n">
        <v>1386.44</v>
      </c>
    </row>
    <row r="7" ht="16" customHeight="1">
      <c r="A7" s="22" t="n">
        <v>4</v>
      </c>
      <c r="B7" s="23" t="inlineStr">
        <is>
          <t>7896036090191</t>
        </is>
      </c>
      <c r="C7" s="16" t="inlineStr">
        <is>
          <t>Frango Inteiro Sadia 2kg</t>
        </is>
      </c>
      <c r="D7" s="16" t="inlineStr">
        <is>
          <t>Carnes</t>
        </is>
      </c>
      <c r="E7" s="16" t="inlineStr">
        <is>
          <t>Frango</t>
        </is>
      </c>
      <c r="F7" s="16" t="inlineStr">
        <is>
          <t>Sadia</t>
        </is>
      </c>
      <c r="G7" s="16" t="inlineStr">
        <is>
          <t>Supermercado Jacomar - Fazenda Rio Grande</t>
        </is>
      </c>
      <c r="H7" s="17" t="n">
        <v>22</v>
      </c>
      <c r="I7" s="8" t="n">
        <v>1210</v>
      </c>
    </row>
    <row r="8" ht="16" customHeight="1">
      <c r="A8" s="20" t="n">
        <v>5</v>
      </c>
      <c r="B8" s="21" t="inlineStr">
        <is>
          <t>7891991010909</t>
        </is>
      </c>
      <c r="C8" s="13" t="inlineStr">
        <is>
          <t>Açúcar Cristal União 1kg</t>
        </is>
      </c>
      <c r="D8" s="13" t="inlineStr">
        <is>
          <t>Mercearia</t>
        </is>
      </c>
      <c r="E8" s="13" t="inlineStr">
        <is>
          <t>Açúcar</t>
        </is>
      </c>
      <c r="F8" s="13" t="inlineStr">
        <is>
          <t>União</t>
        </is>
      </c>
      <c r="G8" s="13" t="inlineStr">
        <is>
          <t>Jacomar Colônia RG</t>
        </is>
      </c>
      <c r="H8" s="9" t="n">
        <v>55</v>
      </c>
      <c r="I8" s="6" t="n">
        <v>1127.5</v>
      </c>
    </row>
    <row r="9" ht="16" customHeight="1">
      <c r="A9" s="22" t="n">
        <v>6</v>
      </c>
      <c r="B9" s="23" t="inlineStr">
        <is>
          <t>7896004004001</t>
        </is>
      </c>
      <c r="C9" s="16" t="inlineStr">
        <is>
          <t>Óleo de Soja Liza 900ml</t>
        </is>
      </c>
      <c r="D9" s="16" t="inlineStr">
        <is>
          <t>Mercearia</t>
        </is>
      </c>
      <c r="E9" s="16" t="inlineStr">
        <is>
          <t>Óleos</t>
        </is>
      </c>
      <c r="F9" s="16" t="inlineStr">
        <is>
          <t>Liza</t>
        </is>
      </c>
      <c r="G9" s="16" t="inlineStr">
        <is>
          <t>Jacomar Pinhais</t>
        </is>
      </c>
      <c r="H9" s="17" t="n">
        <v>42</v>
      </c>
      <c r="I9" s="8" t="n">
        <v>1050</v>
      </c>
    </row>
    <row r="10" ht="16" customHeight="1">
      <c r="A10" s="20" t="n">
        <v>7</v>
      </c>
      <c r="B10" s="21" t="inlineStr">
        <is>
          <t>7896007811052</t>
        </is>
      </c>
      <c r="C10" s="13" t="inlineStr">
        <is>
          <t>Arroz Agulhinha Camil 5kg</t>
        </is>
      </c>
      <c r="D10" s="13" t="inlineStr">
        <is>
          <t>Mercearia</t>
        </is>
      </c>
      <c r="E10" s="13" t="inlineStr">
        <is>
          <t>Arroz</t>
        </is>
      </c>
      <c r="F10" s="13" t="inlineStr">
        <is>
          <t>Camil</t>
        </is>
      </c>
      <c r="G10" s="13" t="inlineStr">
        <is>
          <t>Jacomar Br277</t>
        </is>
      </c>
      <c r="H10" s="9" t="n">
        <v>28</v>
      </c>
      <c r="I10" s="6" t="n">
        <v>980</v>
      </c>
    </row>
    <row r="11" ht="16" customHeight="1">
      <c r="A11" s="22" t="n">
        <v>8</v>
      </c>
      <c r="B11" s="23" t="inlineStr">
        <is>
          <t>7896036095010</t>
        </is>
      </c>
      <c r="C11" s="16" t="inlineStr">
        <is>
          <t>Carne Moída Bovina 500g</t>
        </is>
      </c>
      <c r="D11" s="16" t="inlineStr">
        <is>
          <t>Carnes</t>
        </is>
      </c>
      <c r="E11" s="16" t="inlineStr">
        <is>
          <t>Bovino</t>
        </is>
      </c>
      <c r="F11" s="16" t="inlineStr">
        <is>
          <t>SEM MARCA</t>
        </is>
      </c>
      <c r="G11" s="16" t="inlineStr">
        <is>
          <t>Jacomar Ganchinho</t>
        </is>
      </c>
      <c r="H11" s="17" t="n">
        <v>18</v>
      </c>
      <c r="I11" s="8" t="n">
        <v>936</v>
      </c>
    </row>
    <row r="12" ht="16" customHeight="1">
      <c r="A12" s="20" t="n">
        <v>9</v>
      </c>
      <c r="B12" s="21" t="inlineStr">
        <is>
          <t>7891000244876</t>
        </is>
      </c>
      <c r="C12" s="13" t="inlineStr">
        <is>
          <t>Leite em Pó Integral Ninho 400g</t>
        </is>
      </c>
      <c r="D12" s="13" t="inlineStr">
        <is>
          <t>Laticínios</t>
        </is>
      </c>
      <c r="E12" s="13" t="inlineStr">
        <is>
          <t>Leite em Pó</t>
        </is>
      </c>
      <c r="F12" s="13" t="inlineStr">
        <is>
          <t>Nestlé</t>
        </is>
      </c>
      <c r="G12" s="13" t="inlineStr">
        <is>
          <t>Jacomar - Maestro</t>
        </is>
      </c>
      <c r="H12" s="9" t="n">
        <v>24</v>
      </c>
      <c r="I12" s="6" t="n">
        <v>912</v>
      </c>
    </row>
    <row r="13" ht="16" customHeight="1">
      <c r="A13" s="22" t="n">
        <v>10</v>
      </c>
      <c r="B13" s="23" t="inlineStr">
        <is>
          <t>7896056800827</t>
        </is>
      </c>
      <c r="C13" s="16" t="inlineStr">
        <is>
          <t>Feijão Carioca Camil 1kg</t>
        </is>
      </c>
      <c r="D13" s="16" t="inlineStr">
        <is>
          <t>Mercearia</t>
        </is>
      </c>
      <c r="E13" s="16" t="inlineStr">
        <is>
          <t>Feijão</t>
        </is>
      </c>
      <c r="F13" s="16" t="inlineStr">
        <is>
          <t>Camil</t>
        </is>
      </c>
      <c r="G13" s="16" t="inlineStr">
        <is>
          <t>Supermercado Jacomar - Capão Raso</t>
        </is>
      </c>
      <c r="H13" s="17" t="n">
        <v>52</v>
      </c>
      <c r="I13" s="8" t="n">
        <v>884</v>
      </c>
    </row>
    <row r="14" ht="16" customHeight="1">
      <c r="A14" s="20" t="n">
        <v>11</v>
      </c>
      <c r="B14" s="21" t="inlineStr">
        <is>
          <t>7891156007014</t>
        </is>
      </c>
      <c r="C14" s="13" t="inlineStr">
        <is>
          <t>Macarrão Espaguete Barilla 500g</t>
        </is>
      </c>
      <c r="D14" s="13" t="inlineStr">
        <is>
          <t>Mercearia</t>
        </is>
      </c>
      <c r="E14" s="13" t="inlineStr">
        <is>
          <t>Massas</t>
        </is>
      </c>
      <c r="F14" s="13" t="inlineStr">
        <is>
          <t>Barilla</t>
        </is>
      </c>
      <c r="G14" s="13" t="inlineStr">
        <is>
          <t>Jacomar Pinhais</t>
        </is>
      </c>
      <c r="H14" s="9" t="n">
        <v>44</v>
      </c>
      <c r="I14" s="6" t="n">
        <v>836</v>
      </c>
    </row>
    <row r="15" ht="16" customHeight="1">
      <c r="A15" s="22" t="n">
        <v>12</v>
      </c>
      <c r="B15" s="23" t="inlineStr">
        <is>
          <t>7898215152510</t>
        </is>
      </c>
      <c r="C15" s="16" t="inlineStr">
        <is>
          <t>Iogurte Natural Activia 170g</t>
        </is>
      </c>
      <c r="D15" s="16" t="inlineStr">
        <is>
          <t>Laticínios</t>
        </is>
      </c>
      <c r="E15" s="16" t="inlineStr">
        <is>
          <t>Iogurte</t>
        </is>
      </c>
      <c r="F15" s="16" t="inlineStr">
        <is>
          <t>Danone</t>
        </is>
      </c>
      <c r="G15" s="16" t="inlineStr">
        <is>
          <t>Jacomar Colônia RG</t>
        </is>
      </c>
      <c r="H15" s="17" t="n">
        <v>35</v>
      </c>
      <c r="I15" s="8" t="n">
        <v>770</v>
      </c>
    </row>
    <row r="16" ht="16" customHeight="1">
      <c r="A16" s="20" t="n">
        <v>13</v>
      </c>
      <c r="B16" s="21" t="inlineStr">
        <is>
          <t>7891515901018</t>
        </is>
      </c>
      <c r="C16" s="13" t="inlineStr">
        <is>
          <t>Biscoito Recheado Oreo 120g</t>
        </is>
      </c>
      <c r="D16" s="13" t="inlineStr">
        <is>
          <t>Mercearia</t>
        </is>
      </c>
      <c r="E16" s="13" t="inlineStr">
        <is>
          <t>Biscoitos</t>
        </is>
      </c>
      <c r="F16" s="13" t="inlineStr">
        <is>
          <t>Mondelez</t>
        </is>
      </c>
      <c r="G16" s="13" t="inlineStr">
        <is>
          <t>Jacomar Br277</t>
        </is>
      </c>
      <c r="H16" s="9" t="n">
        <v>48</v>
      </c>
      <c r="I16" s="6" t="n">
        <v>720</v>
      </c>
    </row>
    <row r="17" ht="16" customHeight="1">
      <c r="A17" s="22" t="n">
        <v>14</v>
      </c>
      <c r="B17" s="23" t="inlineStr">
        <is>
          <t>7896045102069</t>
        </is>
      </c>
      <c r="C17" s="16" t="inlineStr">
        <is>
          <t>Refrigerante Coca-Cola 2L</t>
        </is>
      </c>
      <c r="D17" s="16" t="inlineStr">
        <is>
          <t>Bebidas</t>
        </is>
      </c>
      <c r="E17" s="16" t="inlineStr">
        <is>
          <t>Refrigerante</t>
        </is>
      </c>
      <c r="F17" s="16" t="inlineStr">
        <is>
          <t>Coca-Cola</t>
        </is>
      </c>
      <c r="G17" s="16" t="inlineStr">
        <is>
          <t>Jacomar - Maestro</t>
        </is>
      </c>
      <c r="H17" s="17" t="n">
        <v>30</v>
      </c>
      <c r="I17" s="8" t="n">
        <v>690</v>
      </c>
    </row>
    <row r="18" ht="16" customHeight="1">
      <c r="A18" s="20" t="n">
        <v>15</v>
      </c>
      <c r="B18" s="21" t="inlineStr">
        <is>
          <t>7896214531612</t>
        </is>
      </c>
      <c r="C18" s="13" t="inlineStr">
        <is>
          <t>Papel Higiênico Neve 12 rolos</t>
        </is>
      </c>
      <c r="D18" s="13" t="inlineStr">
        <is>
          <t>Higiene</t>
        </is>
      </c>
      <c r="E18" s="13" t="inlineStr">
        <is>
          <t>Papel Higiênico</t>
        </is>
      </c>
      <c r="F18" s="13" t="inlineStr">
        <is>
          <t>Kimberly-Clark</t>
        </is>
      </c>
      <c r="G18" s="13" t="inlineStr">
        <is>
          <t>Jacomar Ganchinho</t>
        </is>
      </c>
      <c r="H18" s="9" t="n">
        <v>20</v>
      </c>
      <c r="I18" s="6" t="n">
        <v>660</v>
      </c>
    </row>
    <row r="19" ht="16" customHeight="1">
      <c r="A19" s="22" t="n">
        <v>16</v>
      </c>
      <c r="B19" s="23" t="inlineStr">
        <is>
          <t>7891910000197</t>
        </is>
      </c>
      <c r="C19" s="16" t="inlineStr">
        <is>
          <t>Detergente Ypê Limão 500ml</t>
        </is>
      </c>
      <c r="D19" s="16" t="inlineStr">
        <is>
          <t>Limpeza</t>
        </is>
      </c>
      <c r="E19" s="16" t="inlineStr">
        <is>
          <t>Detergente</t>
        </is>
      </c>
      <c r="F19" s="16" t="inlineStr">
        <is>
          <t>Ypê</t>
        </is>
      </c>
      <c r="G19" s="16" t="inlineStr">
        <is>
          <t>Supermercado Jacomar - Fazenda Rio Grande</t>
        </is>
      </c>
      <c r="H19" s="17" t="n">
        <v>55</v>
      </c>
      <c r="I19" s="8" t="n">
        <v>605</v>
      </c>
    </row>
    <row r="20" ht="16" customHeight="1">
      <c r="A20" s="20" t="n">
        <v>17</v>
      </c>
      <c r="B20" s="21" t="inlineStr">
        <is>
          <t>7896020129116</t>
        </is>
      </c>
      <c r="C20" s="13" t="inlineStr">
        <is>
          <t>Azeite Extravirgem Gallo 500ml</t>
        </is>
      </c>
      <c r="D20" s="13" t="inlineStr">
        <is>
          <t>Mercearia</t>
        </is>
      </c>
      <c r="E20" s="13" t="inlineStr">
        <is>
          <t>Azeite</t>
        </is>
      </c>
      <c r="F20" s="13" t="inlineStr">
        <is>
          <t>Gallo</t>
        </is>
      </c>
      <c r="G20" s="13" t="inlineStr">
        <is>
          <t>Jacomar - Maestro</t>
        </is>
      </c>
      <c r="H20" s="9" t="n">
        <v>12</v>
      </c>
      <c r="I20" s="6" t="n">
        <v>588</v>
      </c>
    </row>
    <row r="21" ht="16" customHeight="1">
      <c r="A21" s="22" t="n">
        <v>18</v>
      </c>
      <c r="B21" s="23" t="inlineStr">
        <is>
          <t>7896045102038</t>
        </is>
      </c>
      <c r="C21" s="16" t="inlineStr">
        <is>
          <t>Suco de Laranja Del Valle 1L</t>
        </is>
      </c>
      <c r="D21" s="16" t="inlineStr">
        <is>
          <t>Bebidas</t>
        </is>
      </c>
      <c r="E21" s="16" t="inlineStr">
        <is>
          <t>Suco</t>
        </is>
      </c>
      <c r="F21" s="16" t="inlineStr">
        <is>
          <t>Del Valle</t>
        </is>
      </c>
      <c r="G21" s="16" t="inlineStr">
        <is>
          <t>Jacomar Pinhais</t>
        </is>
      </c>
      <c r="H21" s="17" t="n">
        <v>26</v>
      </c>
      <c r="I21" s="8" t="n">
        <v>572</v>
      </c>
    </row>
    <row r="22" ht="16" customHeight="1">
      <c r="A22" s="20" t="n">
        <v>19</v>
      </c>
      <c r="B22" s="21" t="inlineStr">
        <is>
          <t>7891000100240</t>
        </is>
      </c>
      <c r="C22" s="13" t="inlineStr">
        <is>
          <t>Leite Condensado Moça 395g</t>
        </is>
      </c>
      <c r="D22" s="13" t="inlineStr">
        <is>
          <t>Mercearia</t>
        </is>
      </c>
      <c r="E22" s="13" t="inlineStr">
        <is>
          <t>Leite Condensado</t>
        </is>
      </c>
      <c r="F22" s="13" t="inlineStr">
        <is>
          <t>Nestlé</t>
        </is>
      </c>
      <c r="G22" s="13" t="inlineStr">
        <is>
          <t>Supermercado Jacomar - Capão Raso</t>
        </is>
      </c>
      <c r="H22" s="9" t="n">
        <v>32</v>
      </c>
      <c r="I22" s="6" t="n">
        <v>560</v>
      </c>
    </row>
    <row r="23" ht="16" customHeight="1">
      <c r="A23" s="22" t="n">
        <v>20</v>
      </c>
      <c r="B23" s="23" t="inlineStr">
        <is>
          <t>7896058501098</t>
        </is>
      </c>
      <c r="C23" s="16" t="inlineStr">
        <is>
          <t>Molho de Tomate Knorr 340g</t>
        </is>
      </c>
      <c r="D23" s="16" t="inlineStr">
        <is>
          <t>Mercearia</t>
        </is>
      </c>
      <c r="E23" s="16" t="inlineStr">
        <is>
          <t>Molhos</t>
        </is>
      </c>
      <c r="F23" s="16" t="inlineStr">
        <is>
          <t>Knorr</t>
        </is>
      </c>
      <c r="G23" s="16" t="inlineStr">
        <is>
          <t>Jacomar Br277</t>
        </is>
      </c>
      <c r="H23" s="17" t="n">
        <v>40</v>
      </c>
      <c r="I23" s="8" t="n">
        <v>520</v>
      </c>
    </row>
    <row r="24" ht="16" customHeight="1">
      <c r="A24" s="20" t="n">
        <v>21</v>
      </c>
      <c r="B24" s="21" t="inlineStr">
        <is>
          <t>7896035503060</t>
        </is>
      </c>
      <c r="C24" s="13" t="inlineStr">
        <is>
          <t>Manteiga Aviação Com Sal 200g</t>
        </is>
      </c>
      <c r="D24" s="13" t="inlineStr">
        <is>
          <t>Laticínios</t>
        </is>
      </c>
      <c r="E24" s="13" t="inlineStr">
        <is>
          <t>Manteiga</t>
        </is>
      </c>
      <c r="F24" s="13" t="inlineStr">
        <is>
          <t>Aviação</t>
        </is>
      </c>
      <c r="G24" s="13" t="inlineStr">
        <is>
          <t>Jacomar Colônia RG</t>
        </is>
      </c>
      <c r="H24" s="9" t="n">
        <v>22</v>
      </c>
      <c r="I24" s="6" t="n">
        <v>484</v>
      </c>
    </row>
    <row r="25" ht="16" customHeight="1">
      <c r="A25" s="22" t="n">
        <v>22</v>
      </c>
      <c r="B25" s="23" t="inlineStr">
        <is>
          <t>7896045205028</t>
        </is>
      </c>
      <c r="C25" s="16" t="inlineStr">
        <is>
          <t>Cerveja Brahma Lata 350ml</t>
        </is>
      </c>
      <c r="D25" s="16" t="inlineStr">
        <is>
          <t>Bebidas</t>
        </is>
      </c>
      <c r="E25" s="16" t="inlineStr">
        <is>
          <t>Cerveja</t>
        </is>
      </c>
      <c r="F25" s="16" t="inlineStr">
        <is>
          <t>AmBev</t>
        </is>
      </c>
      <c r="G25" s="16" t="inlineStr">
        <is>
          <t>Jacomar Ganchinho</t>
        </is>
      </c>
      <c r="H25" s="17" t="n">
        <v>36</v>
      </c>
      <c r="I25" s="8" t="n">
        <v>468</v>
      </c>
    </row>
    <row r="26" ht="16" customHeight="1">
      <c r="A26" s="20" t="n">
        <v>23</v>
      </c>
      <c r="B26" s="21" t="inlineStr">
        <is>
          <t>7896000594130</t>
        </is>
      </c>
      <c r="C26" s="13" t="inlineStr">
        <is>
          <t>Queijo Minas Frescal 500g</t>
        </is>
      </c>
      <c r="D26" s="13" t="inlineStr">
        <is>
          <t>Laticínios</t>
        </is>
      </c>
      <c r="E26" s="13" t="inlineStr">
        <is>
          <t>Queijo</t>
        </is>
      </c>
      <c r="F26" s="13" t="inlineStr">
        <is>
          <t>SEM MARCA</t>
        </is>
      </c>
      <c r="G26" s="13" t="inlineStr">
        <is>
          <t>Jacomar - Maestro</t>
        </is>
      </c>
      <c r="H26" s="9" t="n">
        <v>14</v>
      </c>
      <c r="I26" s="6" t="n">
        <v>448</v>
      </c>
    </row>
    <row r="27" ht="16" customHeight="1">
      <c r="A27" s="22" t="n">
        <v>24</v>
      </c>
      <c r="B27" s="23" t="inlineStr">
        <is>
          <t>7896259410028</t>
        </is>
      </c>
      <c r="C27" s="16" t="inlineStr">
        <is>
          <t>Farinha de Trigo Dona Benta 1kg</t>
        </is>
      </c>
      <c r="D27" s="16" t="inlineStr">
        <is>
          <t>Mercearia</t>
        </is>
      </c>
      <c r="E27" s="16" t="inlineStr">
        <is>
          <t>Farinha</t>
        </is>
      </c>
      <c r="F27" s="16" t="inlineStr">
        <is>
          <t>Dona Benta</t>
        </is>
      </c>
      <c r="G27" s="16" t="inlineStr">
        <is>
          <t>Supermercado Jacomar - Fazenda Rio Grande</t>
        </is>
      </c>
      <c r="H27" s="17" t="n">
        <v>42</v>
      </c>
      <c r="I27" s="8" t="n">
        <v>420</v>
      </c>
    </row>
    <row r="28" ht="16" customHeight="1">
      <c r="A28" s="20" t="n">
        <v>25</v>
      </c>
      <c r="B28" s="21" t="inlineStr">
        <is>
          <t>7896024780088</t>
        </is>
      </c>
      <c r="C28" s="13" t="inlineStr">
        <is>
          <t>Extrato de Tomate Elefante 340g</t>
        </is>
      </c>
      <c r="D28" s="13" t="inlineStr">
        <is>
          <t>Mercearia</t>
        </is>
      </c>
      <c r="E28" s="13" t="inlineStr">
        <is>
          <t>Extrato</t>
        </is>
      </c>
      <c r="F28" s="13" t="inlineStr">
        <is>
          <t>Elefante</t>
        </is>
      </c>
      <c r="G28" s="13" t="inlineStr">
        <is>
          <t>Jacomar Pinhais</t>
        </is>
      </c>
      <c r="H28" s="9" t="n">
        <v>50</v>
      </c>
      <c r="I28" s="6" t="n">
        <v>400</v>
      </c>
    </row>
    <row r="29" ht="16" customHeight="1">
      <c r="A29" s="22" t="n">
        <v>26</v>
      </c>
      <c r="B29" s="23" t="inlineStr">
        <is>
          <t>7891000268017</t>
        </is>
      </c>
      <c r="C29" s="16" t="inlineStr">
        <is>
          <t>Creme de Leite Nestlé 300ml</t>
        </is>
      </c>
      <c r="D29" s="16" t="inlineStr">
        <is>
          <t>Laticínios</t>
        </is>
      </c>
      <c r="E29" s="16" t="inlineStr">
        <is>
          <t>Creme de Leite</t>
        </is>
      </c>
      <c r="F29" s="16" t="inlineStr">
        <is>
          <t>Nestlé</t>
        </is>
      </c>
      <c r="G29" s="16" t="inlineStr">
        <is>
          <t>Supermercado Jacomar - Capão Raso</t>
        </is>
      </c>
      <c r="H29" s="17" t="n">
        <v>28</v>
      </c>
      <c r="I29" s="8" t="n">
        <v>392</v>
      </c>
    </row>
    <row r="30" ht="16" customHeight="1">
      <c r="A30" s="20" t="n">
        <v>27</v>
      </c>
      <c r="B30" s="21" t="inlineStr">
        <is>
          <t>7891149101017</t>
        </is>
      </c>
      <c r="C30" s="13" t="inlineStr">
        <is>
          <t>Sal Refinado Cisne 1kg</t>
        </is>
      </c>
      <c r="D30" s="13" t="inlineStr">
        <is>
          <t>Mercearia</t>
        </is>
      </c>
      <c r="E30" s="13" t="inlineStr">
        <is>
          <t>Sal</t>
        </is>
      </c>
      <c r="F30" s="13" t="inlineStr">
        <is>
          <t>Cisne</t>
        </is>
      </c>
      <c r="G30" s="13" t="inlineStr">
        <is>
          <t>Jacomar Br277</t>
        </is>
      </c>
      <c r="H30" s="9" t="n">
        <v>60</v>
      </c>
      <c r="I30" s="6" t="n">
        <v>360</v>
      </c>
    </row>
    <row r="31" ht="16" customHeight="1">
      <c r="A31" s="22" t="n">
        <v>28</v>
      </c>
      <c r="B31" s="23" t="inlineStr">
        <is>
          <t>7896058501012</t>
        </is>
      </c>
      <c r="C31" s="16" t="inlineStr">
        <is>
          <t>Maionese Hellmann's 500g</t>
        </is>
      </c>
      <c r="D31" s="16" t="inlineStr">
        <is>
          <t>Mercearia</t>
        </is>
      </c>
      <c r="E31" s="16" t="inlineStr">
        <is>
          <t>Maionese</t>
        </is>
      </c>
      <c r="F31" s="16" t="inlineStr">
        <is>
          <t>Hellmann's</t>
        </is>
      </c>
      <c r="G31" s="16" t="inlineStr">
        <is>
          <t>Jacomar Colônia RG</t>
        </is>
      </c>
      <c r="H31" s="17" t="n">
        <v>20</v>
      </c>
      <c r="I31" s="8" t="n">
        <v>340</v>
      </c>
    </row>
    <row r="32" ht="16" customHeight="1">
      <c r="A32" s="20" t="n">
        <v>29</v>
      </c>
      <c r="B32" s="21" t="inlineStr">
        <is>
          <t>7896214551498</t>
        </is>
      </c>
      <c r="C32" s="13" t="inlineStr">
        <is>
          <t>Sabonete Dove Sensitive 90g</t>
        </is>
      </c>
      <c r="D32" s="13" t="inlineStr">
        <is>
          <t>Higiene</t>
        </is>
      </c>
      <c r="E32" s="13" t="inlineStr">
        <is>
          <t>Sabonete</t>
        </is>
      </c>
      <c r="F32" s="13" t="inlineStr">
        <is>
          <t>Dove</t>
        </is>
      </c>
      <c r="G32" s="13" t="inlineStr">
        <is>
          <t>Jacomar Ganchinho</t>
        </is>
      </c>
      <c r="H32" s="9" t="n">
        <v>35</v>
      </c>
      <c r="I32" s="6" t="n">
        <v>315</v>
      </c>
    </row>
    <row r="33" ht="16" customHeight="1">
      <c r="A33" s="22" t="n">
        <v>30</v>
      </c>
      <c r="B33" s="23" t="inlineStr">
        <is>
          <t>7891910000100</t>
        </is>
      </c>
      <c r="C33" s="16" t="inlineStr">
        <is>
          <t>Amaciante Comfort Azul 2L</t>
        </is>
      </c>
      <c r="D33" s="16" t="inlineStr">
        <is>
          <t>Limpeza</t>
        </is>
      </c>
      <c r="E33" s="16" t="inlineStr">
        <is>
          <t>Amaciante</t>
        </is>
      </c>
      <c r="F33" s="16" t="inlineStr">
        <is>
          <t>Comfort</t>
        </is>
      </c>
      <c r="G33" s="16" t="inlineStr">
        <is>
          <t>Jacomar - Maestro</t>
        </is>
      </c>
      <c r="H33" s="17" t="n">
        <v>15</v>
      </c>
      <c r="I33" s="8" t="n">
        <v>300</v>
      </c>
    </row>
    <row r="34" ht="16" customHeight="1">
      <c r="A34" s="20" t="n">
        <v>31</v>
      </c>
      <c r="B34" s="21" t="inlineStr">
        <is>
          <t>7896000594200</t>
        </is>
      </c>
      <c r="C34" s="13" t="inlineStr">
        <is>
          <t>Requeijão Cremoso Polenghi 200g</t>
        </is>
      </c>
      <c r="D34" s="13" t="inlineStr">
        <is>
          <t>Laticínios</t>
        </is>
      </c>
      <c r="E34" s="13" t="inlineStr">
        <is>
          <t>Requeijão</t>
        </is>
      </c>
      <c r="F34" s="13" t="inlineStr">
        <is>
          <t>Polenghi</t>
        </is>
      </c>
      <c r="G34" s="13" t="inlineStr">
        <is>
          <t>Supermercado Jacomar - Fazenda Rio Grande</t>
        </is>
      </c>
      <c r="H34" s="9" t="n">
        <v>18</v>
      </c>
      <c r="I34" s="6" t="n">
        <v>288</v>
      </c>
    </row>
    <row r="35" ht="16" customHeight="1">
      <c r="A35" s="22" t="n">
        <v>32</v>
      </c>
      <c r="B35" s="23" t="inlineStr">
        <is>
          <t>7896036099001</t>
        </is>
      </c>
      <c r="C35" s="16" t="inlineStr">
        <is>
          <t>Linguiça Toscana Seara 500g</t>
        </is>
      </c>
      <c r="D35" s="16" t="inlineStr">
        <is>
          <t>Carnes</t>
        </is>
      </c>
      <c r="E35" s="16" t="inlineStr">
        <is>
          <t>Embutidos</t>
        </is>
      </c>
      <c r="F35" s="16" t="inlineStr">
        <is>
          <t>Seara</t>
        </is>
      </c>
      <c r="G35" s="16" t="inlineStr">
        <is>
          <t>Jacomar Pinhais</t>
        </is>
      </c>
      <c r="H35" s="17" t="n">
        <v>12</v>
      </c>
      <c r="I35" s="8" t="n">
        <v>276</v>
      </c>
    </row>
    <row r="36" ht="16" customHeight="1">
      <c r="A36" s="20" t="n">
        <v>33</v>
      </c>
      <c r="B36" s="21" t="inlineStr">
        <is>
          <t>7891000100202</t>
        </is>
      </c>
      <c r="C36" s="13" t="inlineStr">
        <is>
          <t>Nescafé Dolce Gusto Cappuccino 8 Cáps</t>
        </is>
      </c>
      <c r="D36" s="13" t="inlineStr">
        <is>
          <t>Mercearia</t>
        </is>
      </c>
      <c r="E36" s="13" t="inlineStr">
        <is>
          <t>Café</t>
        </is>
      </c>
      <c r="F36" s="13" t="inlineStr">
        <is>
          <t>Nestlé</t>
        </is>
      </c>
      <c r="G36" s="13" t="inlineStr">
        <is>
          <t>Supermercado Jacomar - Capão Raso</t>
        </is>
      </c>
      <c r="H36" s="9" t="n">
        <v>8</v>
      </c>
      <c r="I36" s="6" t="n">
        <v>264</v>
      </c>
    </row>
    <row r="37" ht="16" customHeight="1">
      <c r="A37" s="22" t="n">
        <v>34</v>
      </c>
      <c r="B37" s="23" t="inlineStr">
        <is>
          <t>7891519060028</t>
        </is>
      </c>
      <c r="C37" s="16" t="inlineStr">
        <is>
          <t>Bolacha Maria Passatempo 200g</t>
        </is>
      </c>
      <c r="D37" s="16" t="inlineStr">
        <is>
          <t>Mercearia</t>
        </is>
      </c>
      <c r="E37" s="16" t="inlineStr">
        <is>
          <t>Biscoitos</t>
        </is>
      </c>
      <c r="F37" s="16" t="inlineStr">
        <is>
          <t>Nestlé</t>
        </is>
      </c>
      <c r="G37" s="16" t="inlineStr">
        <is>
          <t>Jacomar Br277</t>
        </is>
      </c>
      <c r="H37" s="17" t="n">
        <v>40</v>
      </c>
      <c r="I37" s="8" t="n">
        <v>240</v>
      </c>
    </row>
    <row r="38" ht="16" customHeight="1">
      <c r="A38" s="20" t="n">
        <v>35</v>
      </c>
      <c r="B38" s="21" t="inlineStr">
        <is>
          <t>7891600003006</t>
        </is>
      </c>
      <c r="C38" s="13" t="inlineStr">
        <is>
          <t>Vinho Tinto Suave Canção 750ml</t>
        </is>
      </c>
      <c r="D38" s="13" t="inlineStr">
        <is>
          <t>Bebidas</t>
        </is>
      </c>
      <c r="E38" s="13" t="inlineStr">
        <is>
          <t>Vinho</t>
        </is>
      </c>
      <c r="F38" s="13" t="inlineStr">
        <is>
          <t>Canção</t>
        </is>
      </c>
      <c r="G38" s="13" t="inlineStr">
        <is>
          <t>Jacomar Colônia RG</t>
        </is>
      </c>
      <c r="H38" s="9" t="n">
        <v>10</v>
      </c>
      <c r="I38" s="6" t="n">
        <v>230</v>
      </c>
    </row>
    <row r="39" ht="16" customHeight="1">
      <c r="A39" s="22" t="n">
        <v>36</v>
      </c>
      <c r="B39" s="23" t="inlineStr">
        <is>
          <t>7896063800026</t>
        </is>
      </c>
      <c r="C39" s="16" t="inlineStr">
        <is>
          <t>Shampoo Pantene Antiqueda 175ml</t>
        </is>
      </c>
      <c r="D39" s="16" t="inlineStr">
        <is>
          <t>Higiene</t>
        </is>
      </c>
      <c r="E39" s="16" t="inlineStr">
        <is>
          <t>Shampoo</t>
        </is>
      </c>
      <c r="F39" s="16" t="inlineStr">
        <is>
          <t>P&amp;G</t>
        </is>
      </c>
      <c r="G39" s="16" t="inlineStr">
        <is>
          <t>Jacomar Ganchinho</t>
        </is>
      </c>
      <c r="H39" s="17" t="n">
        <v>16</v>
      </c>
      <c r="I39" s="8" t="n">
        <v>224</v>
      </c>
    </row>
    <row r="40" ht="16" customHeight="1">
      <c r="A40" s="20" t="n">
        <v>37</v>
      </c>
      <c r="B40" s="21" t="inlineStr">
        <is>
          <t>7896045100028</t>
        </is>
      </c>
      <c r="C40" s="13" t="inlineStr">
        <is>
          <t>Água Mineral Bonafont 1,5L</t>
        </is>
      </c>
      <c r="D40" s="13" t="inlineStr">
        <is>
          <t>Bebidas</t>
        </is>
      </c>
      <c r="E40" s="13" t="inlineStr">
        <is>
          <t>Água</t>
        </is>
      </c>
      <c r="F40" s="13" t="inlineStr">
        <is>
          <t>Danone</t>
        </is>
      </c>
      <c r="G40" s="13" t="inlineStr">
        <is>
          <t>Jacomar - Maestro</t>
        </is>
      </c>
      <c r="H40" s="9" t="n">
        <v>45</v>
      </c>
      <c r="I40" s="6" t="n">
        <v>202.5</v>
      </c>
    </row>
    <row r="41" ht="16" customHeight="1">
      <c r="A41" s="22" t="n">
        <v>38</v>
      </c>
      <c r="B41" s="23" t="inlineStr">
        <is>
          <t>7896036094100</t>
        </is>
      </c>
      <c r="C41" s="16" t="inlineStr">
        <is>
          <t>Presunto Cozido Sadia 200g</t>
        </is>
      </c>
      <c r="D41" s="16" t="inlineStr">
        <is>
          <t>Carnes</t>
        </is>
      </c>
      <c r="E41" s="16" t="inlineStr">
        <is>
          <t>Frios</t>
        </is>
      </c>
      <c r="F41" s="16" t="inlineStr">
        <is>
          <t>Sadia</t>
        </is>
      </c>
      <c r="G41" s="16" t="inlineStr">
        <is>
          <t>Supermercado Jacomar - Fazenda Rio Grande</t>
        </is>
      </c>
      <c r="H41" s="17" t="n">
        <v>14</v>
      </c>
      <c r="I41" s="8" t="n">
        <v>196</v>
      </c>
    </row>
    <row r="42" ht="16" customHeight="1">
      <c r="A42" s="20" t="n">
        <v>39</v>
      </c>
      <c r="B42" s="21" t="inlineStr">
        <is>
          <t>7891910000301</t>
        </is>
      </c>
      <c r="C42" s="13" t="inlineStr">
        <is>
          <t>Desinfetante Pinho Sol 500ml</t>
        </is>
      </c>
      <c r="D42" s="13" t="inlineStr">
        <is>
          <t>Limpeza</t>
        </is>
      </c>
      <c r="E42" s="13" t="inlineStr">
        <is>
          <t>Desinfetante</t>
        </is>
      </c>
      <c r="F42" s="13" t="inlineStr">
        <is>
          <t>Pinho Sol</t>
        </is>
      </c>
      <c r="G42" s="13" t="inlineStr">
        <is>
          <t>Jacomar Pinhais</t>
        </is>
      </c>
      <c r="H42" s="9" t="n">
        <v>28</v>
      </c>
      <c r="I42" s="6" t="n">
        <v>182</v>
      </c>
    </row>
    <row r="43" ht="16" customHeight="1">
      <c r="A43" s="22" t="n">
        <v>40</v>
      </c>
      <c r="B43" s="23" t="inlineStr">
        <is>
          <t>7896214542015</t>
        </is>
      </c>
      <c r="C43" s="16" t="inlineStr">
        <is>
          <t>Creme Dental Colgate 90g</t>
        </is>
      </c>
      <c r="D43" s="16" t="inlineStr">
        <is>
          <t>Higiene</t>
        </is>
      </c>
      <c r="E43" s="16" t="inlineStr">
        <is>
          <t>Higiene Bucal</t>
        </is>
      </c>
      <c r="F43" s="16" t="inlineStr">
        <is>
          <t>Colgate</t>
        </is>
      </c>
      <c r="G43" s="16" t="inlineStr">
        <is>
          <t>Supermercado Jacomar - Capão Raso</t>
        </is>
      </c>
      <c r="H43" s="17" t="n">
        <v>22</v>
      </c>
      <c r="I43" s="8" t="n">
        <v>176</v>
      </c>
    </row>
    <row r="44" ht="16" customHeight="1">
      <c r="A44" s="20" t="n">
        <v>41</v>
      </c>
      <c r="B44" s="21" t="inlineStr">
        <is>
          <t>7896036096001</t>
        </is>
      </c>
      <c r="C44" s="13" t="inlineStr">
        <is>
          <t>Bacon Fatiado Perdigão 200g</t>
        </is>
      </c>
      <c r="D44" s="13" t="inlineStr">
        <is>
          <t>Carnes</t>
        </is>
      </c>
      <c r="E44" s="13" t="inlineStr">
        <is>
          <t>Frios</t>
        </is>
      </c>
      <c r="F44" s="13" t="inlineStr">
        <is>
          <t>Perdigão</t>
        </is>
      </c>
      <c r="G44" s="13" t="inlineStr">
        <is>
          <t>Jacomar Br277</t>
        </is>
      </c>
      <c r="H44" s="9" t="n">
        <v>12</v>
      </c>
      <c r="I44" s="6" t="n">
        <v>168</v>
      </c>
    </row>
    <row r="45" ht="16" customHeight="1">
      <c r="A45" s="22" t="n">
        <v>42</v>
      </c>
      <c r="B45" s="23" t="inlineStr">
        <is>
          <t>7891000319505</t>
        </is>
      </c>
      <c r="C45" s="16" t="inlineStr">
        <is>
          <t>Achocolatado Toddynho 200ml</t>
        </is>
      </c>
      <c r="D45" s="16" t="inlineStr">
        <is>
          <t>Bebidas</t>
        </is>
      </c>
      <c r="E45" s="16" t="inlineStr">
        <is>
          <t>Achocolatado</t>
        </is>
      </c>
      <c r="F45" s="16" t="inlineStr">
        <is>
          <t>PepsiCo</t>
        </is>
      </c>
      <c r="G45" s="16" t="inlineStr">
        <is>
          <t>Jacomar Colônia RG</t>
        </is>
      </c>
      <c r="H45" s="17" t="n">
        <v>24</v>
      </c>
      <c r="I45" s="8" t="n">
        <v>156</v>
      </c>
    </row>
    <row r="46" ht="16" customHeight="1">
      <c r="A46" s="20" t="n">
        <v>43</v>
      </c>
      <c r="B46" s="21" t="inlineStr">
        <is>
          <t>7896005716015</t>
        </is>
      </c>
      <c r="C46" s="13" t="inlineStr">
        <is>
          <t>Caldo de Galinha Knorr 57g</t>
        </is>
      </c>
      <c r="D46" s="13" t="inlineStr">
        <is>
          <t>Mercearia</t>
        </is>
      </c>
      <c r="E46" s="13" t="inlineStr">
        <is>
          <t>Tempero</t>
        </is>
      </c>
      <c r="F46" s="13" t="inlineStr">
        <is>
          <t>Knorr</t>
        </is>
      </c>
      <c r="G46" s="13" t="inlineStr">
        <is>
          <t>Jacomar Ganchinho</t>
        </is>
      </c>
      <c r="H46" s="9" t="n">
        <v>30</v>
      </c>
      <c r="I46" s="6" t="n">
        <v>150</v>
      </c>
    </row>
    <row r="47" ht="16" customHeight="1">
      <c r="A47" s="22" t="n">
        <v>44</v>
      </c>
      <c r="B47" s="23" t="inlineStr">
        <is>
          <t>7896036098002</t>
        </is>
      </c>
      <c r="C47" s="16" t="inlineStr">
        <is>
          <t>Salsicha Viena Perdigão 500g</t>
        </is>
      </c>
      <c r="D47" s="16" t="inlineStr">
        <is>
          <t>Carnes</t>
        </is>
      </c>
      <c r="E47" s="16" t="inlineStr">
        <is>
          <t>Embutidos</t>
        </is>
      </c>
      <c r="F47" s="16" t="inlineStr">
        <is>
          <t>Perdigão</t>
        </is>
      </c>
      <c r="G47" s="16" t="inlineStr">
        <is>
          <t>Jacomar - Maestro</t>
        </is>
      </c>
      <c r="H47" s="17" t="n">
        <v>15</v>
      </c>
      <c r="I47" s="8" t="n">
        <v>135</v>
      </c>
    </row>
    <row r="48" ht="16" customHeight="1">
      <c r="A48" s="20" t="n">
        <v>45</v>
      </c>
      <c r="B48" s="21" t="inlineStr">
        <is>
          <t>7896045103011</t>
        </is>
      </c>
      <c r="C48" s="13" t="inlineStr">
        <is>
          <t>Guaraná Antarctica 2L</t>
        </is>
      </c>
      <c r="D48" s="13" t="inlineStr">
        <is>
          <t>Bebidas</t>
        </is>
      </c>
      <c r="E48" s="13" t="inlineStr">
        <is>
          <t>Refrigerante</t>
        </is>
      </c>
      <c r="F48" s="13" t="inlineStr">
        <is>
          <t>AmBev</t>
        </is>
      </c>
      <c r="G48" s="13" t="inlineStr">
        <is>
          <t>Supermercado Jacomar - Fazenda Rio Grande</t>
        </is>
      </c>
      <c r="H48" s="9" t="n">
        <v>20</v>
      </c>
      <c r="I48" s="6" t="n">
        <v>120</v>
      </c>
    </row>
    <row r="49" ht="16" customHeight="1">
      <c r="A49" s="22" t="n">
        <v>46</v>
      </c>
      <c r="B49" s="23" t="inlineStr">
        <is>
          <t>7891910000401</t>
        </is>
      </c>
      <c r="C49" s="16" t="inlineStr">
        <is>
          <t>Limpador Multiuso Mr. Músculo 500ml</t>
        </is>
      </c>
      <c r="D49" s="16" t="inlineStr">
        <is>
          <t>Limpeza</t>
        </is>
      </c>
      <c r="E49" s="16" t="inlineStr">
        <is>
          <t>Multiuso</t>
        </is>
      </c>
      <c r="F49" s="16" t="inlineStr">
        <is>
          <t>SC Johnson</t>
        </is>
      </c>
      <c r="G49" s="16" t="inlineStr">
        <is>
          <t>Jacomar Pinhais</t>
        </is>
      </c>
      <c r="H49" s="17" t="n">
        <v>18</v>
      </c>
      <c r="I49" s="8" t="n">
        <v>108</v>
      </c>
    </row>
    <row r="50" ht="16" customHeight="1">
      <c r="A50" s="20" t="n">
        <v>47</v>
      </c>
      <c r="B50" s="21" t="inlineStr">
        <is>
          <t>7896036093005</t>
        </is>
      </c>
      <c r="C50" s="13" t="inlineStr">
        <is>
          <t>Peito de Peru Sadia 200g</t>
        </is>
      </c>
      <c r="D50" s="13" t="inlineStr">
        <is>
          <t>Carnes</t>
        </is>
      </c>
      <c r="E50" s="13" t="inlineStr">
        <is>
          <t>Frios</t>
        </is>
      </c>
      <c r="F50" s="13" t="inlineStr">
        <is>
          <t>Sadia</t>
        </is>
      </c>
      <c r="G50" s="13" t="inlineStr">
        <is>
          <t>Supermercado Jacomar - Capão Raso</t>
        </is>
      </c>
      <c r="H50" s="9" t="n">
        <v>10</v>
      </c>
      <c r="I50" s="6" t="n">
        <v>90</v>
      </c>
    </row>
    <row r="51" ht="16" customHeight="1">
      <c r="A51" s="22" t="n">
        <v>48</v>
      </c>
      <c r="B51" s="23" t="inlineStr">
        <is>
          <t>7896000594355</t>
        </is>
      </c>
      <c r="C51" s="16" t="inlineStr">
        <is>
          <t>Iogurte Polenghi Morango 150g</t>
        </is>
      </c>
      <c r="D51" s="16" t="inlineStr">
        <is>
          <t>Laticínios</t>
        </is>
      </c>
      <c r="E51" s="16" t="inlineStr">
        <is>
          <t>Iogurte</t>
        </is>
      </c>
      <c r="F51" s="16" t="inlineStr">
        <is>
          <t>Polenghi</t>
        </is>
      </c>
      <c r="G51" s="16" t="inlineStr">
        <is>
          <t>Jacomar Br277</t>
        </is>
      </c>
      <c r="H51" s="17" t="n">
        <v>20</v>
      </c>
      <c r="I51" s="8" t="n">
        <v>80</v>
      </c>
    </row>
    <row r="52" ht="16" customHeight="1">
      <c r="A52" s="20" t="n">
        <v>49</v>
      </c>
      <c r="B52" s="21" t="inlineStr">
        <is>
          <t>7896045106008</t>
        </is>
      </c>
      <c r="C52" s="13" t="inlineStr">
        <is>
          <t>Soda Limonada Antarctica 2L</t>
        </is>
      </c>
      <c r="D52" s="13" t="inlineStr">
        <is>
          <t>Bebidas</t>
        </is>
      </c>
      <c r="E52" s="13" t="inlineStr">
        <is>
          <t>Refrigerante</t>
        </is>
      </c>
      <c r="F52" s="13" t="inlineStr">
        <is>
          <t>AmBev</t>
        </is>
      </c>
      <c r="G52" s="13" t="inlineStr">
        <is>
          <t>Jacomar Colônia RG</t>
        </is>
      </c>
      <c r="H52" s="9" t="n">
        <v>12</v>
      </c>
      <c r="I52" s="6" t="n">
        <v>72</v>
      </c>
    </row>
    <row r="53" ht="16" customHeight="1">
      <c r="A53" s="22" t="n">
        <v>50</v>
      </c>
      <c r="B53" s="23" t="inlineStr">
        <is>
          <t>7896063801018</t>
        </is>
      </c>
      <c r="C53" s="16" t="inlineStr">
        <is>
          <t>Condicionador Pantene 175ml</t>
        </is>
      </c>
      <c r="D53" s="16" t="inlineStr">
        <is>
          <t>Higiene</t>
        </is>
      </c>
      <c r="E53" s="16" t="inlineStr">
        <is>
          <t>Condicionador</t>
        </is>
      </c>
      <c r="F53" s="16" t="inlineStr">
        <is>
          <t>P&amp;G</t>
        </is>
      </c>
      <c r="G53" s="16" t="inlineStr">
        <is>
          <t>Jacomar Ganchinho</t>
        </is>
      </c>
      <c r="H53" s="17" t="n">
        <v>12</v>
      </c>
      <c r="I53" s="8" t="n">
        <v>60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6" customWidth="1" min="4" max="4"/>
    <col width="16" customWidth="1" min="5" max="5"/>
    <col width="30" customWidth="1" min="6" max="6"/>
  </cols>
  <sheetData>
    <row r="1" ht="30" customHeight="1">
      <c r="A1" s="1" t="inlineStr">
        <is>
          <t>🚨 JACOMAR | Alertas &amp; Destaques | 18/05–24/05</t>
        </is>
      </c>
    </row>
    <row r="2">
      <c r="A2" s="2" t="inlineStr">
        <is>
          <t>Alertas automáticos baseados na semana 18/05–24/05 vs 11/05–17/05</t>
        </is>
      </c>
    </row>
    <row r="3">
      <c r="A3" s="24" t="inlineStr">
        <is>
          <t>🔴 ALERTAS CRÍTICOS (Score ≥ 35)</t>
        </is>
      </c>
    </row>
    <row r="4">
      <c r="A4" s="12" t="inlineStr"/>
      <c r="B4" s="12" t="inlineStr">
        <is>
          <t>Loja</t>
        </is>
      </c>
      <c r="C4" s="12" t="inlineStr">
        <is>
          <t>Indicador</t>
        </is>
      </c>
      <c r="D4" s="12" t="inlineStr">
        <is>
          <t>11/05–17/05</t>
        </is>
      </c>
      <c r="E4" s="12" t="inlineStr">
        <is>
          <t>18/05–24/05</t>
        </is>
      </c>
      <c r="F4" s="12" t="inlineStr">
        <is>
          <t>Observação</t>
        </is>
      </c>
    </row>
    <row r="5">
      <c r="A5" s="25" t="inlineStr">
        <is>
          <t>✅ Nenhum alerta crítico nesta semana</t>
        </is>
      </c>
    </row>
    <row r="6">
      <c r="A6" s="26" t="inlineStr">
        <is>
          <t>✅ DESTAQUES POSITIVOS (SLA ≥ 90%)</t>
        </is>
      </c>
    </row>
    <row r="7">
      <c r="A7" s="27" t="inlineStr">
        <is>
          <t>✅</t>
        </is>
      </c>
      <c r="B7" s="28" t="inlineStr">
        <is>
          <t>Capão Raso</t>
        </is>
      </c>
      <c r="C7" s="27" t="inlineStr">
        <is>
          <t>SLA 95.6%</t>
        </is>
      </c>
      <c r="D7" s="27" t="inlineStr">
        <is>
          <t>NSU 0.4%</t>
        </is>
      </c>
      <c r="E7" s="27" t="inlineStr">
        <is>
          <t>Score 29</t>
        </is>
      </c>
      <c r="F7" s="29" t="inlineStr">
        <is>
          <t>Performance acima da meta</t>
        </is>
      </c>
    </row>
    <row r="8">
      <c r="A8" s="27" t="inlineStr">
        <is>
          <t>✅</t>
        </is>
      </c>
      <c r="B8" s="28" t="inlineStr">
        <is>
          <t>Br277</t>
        </is>
      </c>
      <c r="C8" s="27" t="inlineStr">
        <is>
          <t>SLA 95.4%</t>
        </is>
      </c>
      <c r="D8" s="27" t="inlineStr">
        <is>
          <t>NSU 1.5%</t>
        </is>
      </c>
      <c r="E8" s="27" t="inlineStr">
        <is>
          <t>Score 23</t>
        </is>
      </c>
      <c r="F8" s="29" t="inlineStr">
        <is>
          <t>Performance acima da meta</t>
        </is>
      </c>
    </row>
    <row r="9">
      <c r="A9" s="27" t="inlineStr">
        <is>
          <t>✅</t>
        </is>
      </c>
      <c r="B9" s="28" t="inlineStr">
        <is>
          <t>Pinhais</t>
        </is>
      </c>
      <c r="C9" s="27" t="inlineStr">
        <is>
          <t>SLA 97.1%</t>
        </is>
      </c>
      <c r="D9" s="27" t="inlineStr">
        <is>
          <t>NSU 0.7%</t>
        </is>
      </c>
      <c r="E9" s="27" t="inlineStr">
        <is>
          <t>Score 19</t>
        </is>
      </c>
      <c r="F9" s="29" t="inlineStr">
        <is>
          <t>Performance acima da meta</t>
        </is>
      </c>
    </row>
    <row r="10">
      <c r="A10" s="27" t="inlineStr">
        <is>
          <t>✅</t>
        </is>
      </c>
      <c r="B10" s="28" t="inlineStr">
        <is>
          <t>Maestro</t>
        </is>
      </c>
      <c r="C10" s="27" t="inlineStr">
        <is>
          <t>SLA 97.0%</t>
        </is>
      </c>
      <c r="D10" s="27" t="inlineStr">
        <is>
          <t>NSU 0.0%</t>
        </is>
      </c>
      <c r="E10" s="27" t="inlineStr">
        <is>
          <t>Score 4</t>
        </is>
      </c>
      <c r="F10" s="29" t="inlineStr">
        <is>
          <t>Performance acima da meta</t>
        </is>
      </c>
    </row>
  </sheetData>
  <mergeCells count="5">
    <mergeCell ref="A2:F2"/>
    <mergeCell ref="A1:F1"/>
    <mergeCell ref="A5:F5"/>
    <mergeCell ref="A6:F6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30" customHeight="1">
      <c r="A1" s="30" t="inlineStr">
        <is>
          <t>📦 JACOMAR | GMV CAP vs FAT por Loja e Semana | 23/03 – 24/05/2026</t>
        </is>
      </c>
    </row>
    <row r="2">
      <c r="A2" s="2" t="inlineStr">
        <is>
          <t>Para cada semana: FAT | CAP | % FAT/CAP — em colunas separadas</t>
        </is>
      </c>
    </row>
    <row r="3">
      <c r="B3" s="31" t="inlineStr">
        <is>
          <t>23/03–29/03</t>
        </is>
      </c>
      <c r="E3" s="31" t="inlineStr">
        <is>
          <t>30/03–05/04</t>
        </is>
      </c>
      <c r="H3" s="31" t="inlineStr">
        <is>
          <t>06/04–12/04</t>
        </is>
      </c>
      <c r="K3" s="31" t="inlineStr">
        <is>
          <t>13/04–19/04</t>
        </is>
      </c>
      <c r="N3" s="31" t="inlineStr">
        <is>
          <t>20/04–26/04</t>
        </is>
      </c>
      <c r="Q3" s="31" t="inlineStr">
        <is>
          <t>27/04–03/05</t>
        </is>
      </c>
      <c r="T3" s="31" t="inlineStr">
        <is>
          <t>04/05–10/05</t>
        </is>
      </c>
      <c r="W3" s="31" t="inlineStr">
        <is>
          <t>11/05–17/05</t>
        </is>
      </c>
      <c r="Z3" s="31" t="inlineStr">
        <is>
          <t>18/05–24/05</t>
        </is>
      </c>
    </row>
    <row r="4">
      <c r="A4" s="12" t="inlineStr">
        <is>
          <t>Loja</t>
        </is>
      </c>
      <c r="B4" s="3" t="inlineStr">
        <is>
          <t>FAT R$</t>
        </is>
      </c>
      <c r="C4" s="3" t="inlineStr">
        <is>
          <t>CAP R$</t>
        </is>
      </c>
      <c r="D4" s="3" t="inlineStr">
        <is>
          <t>FAT/CAP</t>
        </is>
      </c>
      <c r="E4" s="3" t="inlineStr">
        <is>
          <t>FAT R$</t>
        </is>
      </c>
      <c r="F4" s="3" t="inlineStr">
        <is>
          <t>CAP R$</t>
        </is>
      </c>
      <c r="G4" s="3" t="inlineStr">
        <is>
          <t>FAT/CAP</t>
        </is>
      </c>
      <c r="H4" s="3" t="inlineStr">
        <is>
          <t>FAT R$</t>
        </is>
      </c>
      <c r="I4" s="3" t="inlineStr">
        <is>
          <t>CAP R$</t>
        </is>
      </c>
      <c r="J4" s="3" t="inlineStr">
        <is>
          <t>FAT/CAP</t>
        </is>
      </c>
      <c r="K4" s="3" t="inlineStr">
        <is>
          <t>FAT R$</t>
        </is>
      </c>
      <c r="L4" s="3" t="inlineStr">
        <is>
          <t>CAP R$</t>
        </is>
      </c>
      <c r="M4" s="3" t="inlineStr">
        <is>
          <t>FAT/CAP</t>
        </is>
      </c>
      <c r="N4" s="3" t="inlineStr">
        <is>
          <t>FAT R$</t>
        </is>
      </c>
      <c r="O4" s="3" t="inlineStr">
        <is>
          <t>CAP R$</t>
        </is>
      </c>
      <c r="P4" s="3" t="inlineStr">
        <is>
          <t>FAT/CAP</t>
        </is>
      </c>
      <c r="Q4" s="3" t="inlineStr">
        <is>
          <t>FAT R$</t>
        </is>
      </c>
      <c r="R4" s="3" t="inlineStr">
        <is>
          <t>CAP R$</t>
        </is>
      </c>
      <c r="S4" s="3" t="inlineStr">
        <is>
          <t>FAT/CAP</t>
        </is>
      </c>
      <c r="T4" s="3" t="inlineStr">
        <is>
          <t>FAT R$</t>
        </is>
      </c>
      <c r="U4" s="3" t="inlineStr">
        <is>
          <t>CAP R$</t>
        </is>
      </c>
      <c r="V4" s="3" t="inlineStr">
        <is>
          <t>FAT/CAP</t>
        </is>
      </c>
      <c r="W4" s="3" t="inlineStr">
        <is>
          <t>FAT R$</t>
        </is>
      </c>
      <c r="X4" s="3" t="inlineStr">
        <is>
          <t>CAP R$</t>
        </is>
      </c>
      <c r="Y4" s="3" t="inlineStr">
        <is>
          <t>FAT/CAP</t>
        </is>
      </c>
      <c r="Z4" s="3" t="inlineStr">
        <is>
          <t>FAT R$</t>
        </is>
      </c>
      <c r="AA4" s="3" t="inlineStr">
        <is>
          <t>CAP R$</t>
        </is>
      </c>
      <c r="AB4" s="3" t="inlineStr">
        <is>
          <t>FAT/CAP</t>
        </is>
      </c>
    </row>
    <row r="5" ht="16" customHeight="1">
      <c r="A5" s="5" t="inlineStr">
        <is>
          <t>Maestro</t>
        </is>
      </c>
      <c r="B5" s="9" t="n">
        <v>85500.17999999999</v>
      </c>
      <c r="C5" s="9" t="n">
        <v>90051.12</v>
      </c>
      <c r="D5" s="32" t="n">
        <v>0.9494627051834557</v>
      </c>
      <c r="E5" s="9" t="n">
        <v>106851.48</v>
      </c>
      <c r="F5" s="9" t="n">
        <v>115466.85</v>
      </c>
      <c r="G5" s="32" t="n">
        <v>0.92538663694385</v>
      </c>
      <c r="H5" s="9" t="n">
        <v>80263.16</v>
      </c>
      <c r="I5" s="9" t="n">
        <v>86141.95</v>
      </c>
      <c r="J5" s="32" t="n">
        <v>0.9317546212965925</v>
      </c>
      <c r="K5" s="9" t="n">
        <v>82892.32000000001</v>
      </c>
      <c r="L5" s="9" t="n">
        <v>88045.92999999999</v>
      </c>
      <c r="M5" s="32" t="n">
        <v>0.9414668003393232</v>
      </c>
      <c r="N5" s="9" t="n">
        <v>79318.14</v>
      </c>
      <c r="O5" s="9" t="n">
        <v>83941.49000000001</v>
      </c>
      <c r="P5" s="32" t="n">
        <v>0.9449217544268038</v>
      </c>
      <c r="Q5" s="9" t="n">
        <v>97577.88</v>
      </c>
      <c r="R5" s="9" t="n">
        <v>102926.72</v>
      </c>
      <c r="S5" s="32" t="n">
        <v>0.9480325419871537</v>
      </c>
      <c r="T5" s="9" t="n">
        <v>98084.31</v>
      </c>
      <c r="U5" s="9" t="n">
        <v>107936.99</v>
      </c>
      <c r="V5" s="32" t="n">
        <v>0.908718225327573</v>
      </c>
      <c r="W5" s="9" t="n">
        <v>81349.38</v>
      </c>
      <c r="X5" s="9" t="n">
        <v>87823.7</v>
      </c>
      <c r="Y5" s="32" t="n">
        <v>0.9262804914846449</v>
      </c>
      <c r="Z5" s="9" t="n">
        <v>76656.17999999999</v>
      </c>
      <c r="AA5" s="9" t="n">
        <v>80622.27</v>
      </c>
      <c r="AB5" s="32" t="n">
        <v>0.9508065203324094</v>
      </c>
    </row>
    <row r="6" ht="16" customHeight="1">
      <c r="A6" s="7" t="inlineStr">
        <is>
          <t>Pinhais</t>
        </is>
      </c>
      <c r="B6" s="17" t="n">
        <v>32734.48</v>
      </c>
      <c r="C6" s="17" t="n">
        <v>35238.91</v>
      </c>
      <c r="D6" s="33" t="n">
        <v>0.9289299810919236</v>
      </c>
      <c r="E6" s="17" t="n">
        <v>42815.25</v>
      </c>
      <c r="F6" s="17" t="n">
        <v>45889.98</v>
      </c>
      <c r="G6" s="33" t="n">
        <v>0.9329977916747838</v>
      </c>
      <c r="H6" s="17" t="n">
        <v>37206.44</v>
      </c>
      <c r="I6" s="17" t="n">
        <v>40708.26</v>
      </c>
      <c r="J6" s="33" t="n">
        <v>0.9139776546578017</v>
      </c>
      <c r="K6" s="17" t="n">
        <v>30889.95</v>
      </c>
      <c r="L6" s="17" t="n">
        <v>34761.73</v>
      </c>
      <c r="M6" s="33" t="n">
        <v>0.8886194674430761</v>
      </c>
      <c r="N6" s="17" t="n">
        <v>33405.34</v>
      </c>
      <c r="O6" s="17" t="n">
        <v>37465.8</v>
      </c>
      <c r="P6" s="33" t="n">
        <v>0.8916222261369033</v>
      </c>
      <c r="Q6" s="17" t="n">
        <v>37338.7</v>
      </c>
      <c r="R6" s="17" t="n">
        <v>41875.79</v>
      </c>
      <c r="S6" s="33" t="n">
        <v>0.8916536261166654</v>
      </c>
      <c r="T6" s="17" t="n">
        <v>45092.15</v>
      </c>
      <c r="U6" s="17" t="n">
        <v>49123.34</v>
      </c>
      <c r="V6" s="33" t="n">
        <v>0.917937379665145</v>
      </c>
      <c r="W6" s="17" t="n">
        <v>38337.65</v>
      </c>
      <c r="X6" s="17" t="n">
        <v>43330.34</v>
      </c>
      <c r="Y6" s="33" t="n">
        <v>0.8847761176118166</v>
      </c>
      <c r="Z6" s="17" t="n">
        <v>32999.76</v>
      </c>
      <c r="AA6" s="17" t="n">
        <v>36225.95</v>
      </c>
      <c r="AB6" s="33" t="n">
        <v>0.9109425701741433</v>
      </c>
    </row>
    <row r="7" ht="16" customHeight="1">
      <c r="A7" s="5" t="inlineStr">
        <is>
          <t>Colônia Rio Grande</t>
        </is>
      </c>
      <c r="B7" s="9" t="n">
        <v>41653.89</v>
      </c>
      <c r="C7" s="9" t="n">
        <v>44632.52</v>
      </c>
      <c r="D7" s="32" t="n">
        <v>0.9332632349685835</v>
      </c>
      <c r="E7" s="9" t="n">
        <v>53569.33</v>
      </c>
      <c r="F7" s="9" t="n">
        <v>58801.35</v>
      </c>
      <c r="G7" s="32" t="n">
        <v>0.9110221108869099</v>
      </c>
      <c r="H7" s="9" t="n">
        <v>44459.96</v>
      </c>
      <c r="I7" s="9" t="n">
        <v>47407.39</v>
      </c>
      <c r="J7" s="32" t="n">
        <v>0.9378276256085811</v>
      </c>
      <c r="K7" s="9" t="n">
        <v>38857.57</v>
      </c>
      <c r="L7" s="9" t="n">
        <v>41028.83</v>
      </c>
      <c r="M7" s="32" t="n">
        <v>0.9470796510648731</v>
      </c>
      <c r="N7" s="9" t="n">
        <v>43207</v>
      </c>
      <c r="O7" s="9" t="n">
        <v>48124.51</v>
      </c>
      <c r="P7" s="32" t="n">
        <v>0.8978169336165708</v>
      </c>
      <c r="Q7" s="9" t="n">
        <v>49815.55</v>
      </c>
      <c r="R7" s="9" t="n">
        <v>53921.79</v>
      </c>
      <c r="S7" s="32" t="n">
        <v>0.9238482253649221</v>
      </c>
      <c r="T7" s="9" t="n">
        <v>53337.13</v>
      </c>
      <c r="U7" s="9" t="n">
        <v>61628.6</v>
      </c>
      <c r="V7" s="32" t="n">
        <v>0.865460678970478</v>
      </c>
      <c r="W7" s="9" t="n">
        <v>34301.85</v>
      </c>
      <c r="X7" s="9" t="n">
        <v>39448.44</v>
      </c>
      <c r="Y7" s="32" t="n">
        <v>0.8695362858455239</v>
      </c>
      <c r="Z7" s="9" t="n">
        <v>36538.45</v>
      </c>
      <c r="AA7" s="9" t="n">
        <v>41125.14</v>
      </c>
      <c r="AB7" s="32" t="n">
        <v>0.8884699237498036</v>
      </c>
    </row>
    <row r="8" ht="16" customHeight="1">
      <c r="A8" s="7" t="inlineStr">
        <is>
          <t>Fazenda Rio Grande</t>
        </is>
      </c>
      <c r="B8" s="17" t="n">
        <v>46017.68</v>
      </c>
      <c r="C8" s="17" t="n">
        <v>47818.36</v>
      </c>
      <c r="D8" s="33" t="n">
        <v>0.9623433342339637</v>
      </c>
      <c r="E8" s="17" t="n">
        <v>56253.2</v>
      </c>
      <c r="F8" s="17" t="n">
        <v>60827.45</v>
      </c>
      <c r="G8" s="33" t="n">
        <v>0.9247995765069882</v>
      </c>
      <c r="H8" s="17" t="n">
        <v>38320.67</v>
      </c>
      <c r="I8" s="17" t="n">
        <v>42392.76</v>
      </c>
      <c r="J8" s="33" t="n">
        <v>0.9039437394498493</v>
      </c>
      <c r="K8" s="17" t="n">
        <v>45169.9</v>
      </c>
      <c r="L8" s="17" t="n">
        <v>48007.38</v>
      </c>
      <c r="M8" s="33" t="n">
        <v>0.9408949207392697</v>
      </c>
      <c r="N8" s="17" t="n">
        <v>43204.55</v>
      </c>
      <c r="O8" s="17" t="n">
        <v>46801.36</v>
      </c>
      <c r="P8" s="33" t="n">
        <v>0.9231473187958641</v>
      </c>
      <c r="Q8" s="17" t="n">
        <v>50895.01</v>
      </c>
      <c r="R8" s="17" t="n">
        <v>56042.27</v>
      </c>
      <c r="S8" s="33" t="n">
        <v>0.9081539702085587</v>
      </c>
      <c r="T8" s="17" t="n">
        <v>54477.45</v>
      </c>
      <c r="U8" s="17" t="n">
        <v>59340.26</v>
      </c>
      <c r="V8" s="33" t="n">
        <v>0.9180520948172454</v>
      </c>
      <c r="W8" s="17" t="n">
        <v>43926.56</v>
      </c>
      <c r="X8" s="17" t="n">
        <v>48135.15</v>
      </c>
      <c r="Y8" s="33" t="n">
        <v>0.9125672195890114</v>
      </c>
      <c r="Z8" s="17" t="n">
        <v>41416.9</v>
      </c>
      <c r="AA8" s="17" t="n">
        <v>43759.74</v>
      </c>
      <c r="AB8" s="33" t="n">
        <v>0.9464612906749447</v>
      </c>
    </row>
    <row r="9" ht="16" customHeight="1">
      <c r="A9" s="5" t="inlineStr">
        <is>
          <t>Capão Raso</t>
        </is>
      </c>
      <c r="B9" s="9" t="n">
        <v>57838.8</v>
      </c>
      <c r="C9" s="9" t="n">
        <v>63218</v>
      </c>
      <c r="D9" s="32" t="n">
        <v>0.9149103103546459</v>
      </c>
      <c r="E9" s="9" t="n">
        <v>65454.54</v>
      </c>
      <c r="F9" s="9" t="n">
        <v>78796.75</v>
      </c>
      <c r="G9" s="32" t="n">
        <v>0.8306756306573558</v>
      </c>
      <c r="H9" s="9" t="n">
        <v>54992.6</v>
      </c>
      <c r="I9" s="9" t="n">
        <v>67627.89999999999</v>
      </c>
      <c r="J9" s="32" t="n">
        <v>0.8131643892535477</v>
      </c>
      <c r="K9" s="9" t="n">
        <v>53658.04</v>
      </c>
      <c r="L9" s="9" t="n">
        <v>60384.27</v>
      </c>
      <c r="M9" s="32" t="n">
        <v>0.8886095666967574</v>
      </c>
      <c r="N9" s="9" t="n">
        <v>58872.88</v>
      </c>
      <c r="O9" s="9" t="n">
        <v>68451.75999999999</v>
      </c>
      <c r="P9" s="32" t="n">
        <v>0.860063787987336</v>
      </c>
      <c r="Q9" s="9" t="n">
        <v>57755.4</v>
      </c>
      <c r="R9" s="9" t="n">
        <v>72927.22</v>
      </c>
      <c r="S9" s="32" t="n">
        <v>0.7919594357223544</v>
      </c>
      <c r="T9" s="9" t="n">
        <v>53503.43</v>
      </c>
      <c r="U9" s="9" t="n">
        <v>72386.96000000001</v>
      </c>
      <c r="V9" s="32" t="n">
        <v>0.7391307771454969</v>
      </c>
      <c r="W9" s="9" t="n">
        <v>65870.24000000001</v>
      </c>
      <c r="X9" s="9" t="n">
        <v>72144.24000000001</v>
      </c>
      <c r="Y9" s="32" t="n">
        <v>0.9130353303326779</v>
      </c>
      <c r="Z9" s="9" t="n">
        <v>62790.96</v>
      </c>
      <c r="AA9" s="9" t="n">
        <v>69996.94</v>
      </c>
      <c r="AB9" s="32" t="n">
        <v>0.8970529283137235</v>
      </c>
    </row>
    <row r="10" ht="16" customHeight="1">
      <c r="A10" s="7" t="inlineStr">
        <is>
          <t>Ganchinho</t>
        </is>
      </c>
      <c r="B10" s="17" t="n">
        <v>23502.82</v>
      </c>
      <c r="C10" s="17" t="n">
        <v>24884.23</v>
      </c>
      <c r="D10" s="33" t="n">
        <v>0.9444865282148573</v>
      </c>
      <c r="E10" s="17" t="n">
        <v>31273.54</v>
      </c>
      <c r="F10" s="17" t="n">
        <v>35095.95</v>
      </c>
      <c r="G10" s="33" t="n">
        <v>0.8910868632990417</v>
      </c>
      <c r="H10" s="17" t="n">
        <v>26026.09</v>
      </c>
      <c r="I10" s="17" t="n">
        <v>28106.12</v>
      </c>
      <c r="J10" s="33" t="n">
        <v>0.9259936981696514</v>
      </c>
      <c r="K10" s="17" t="n">
        <v>24653.7</v>
      </c>
      <c r="L10" s="17" t="n">
        <v>25910.87</v>
      </c>
      <c r="M10" s="33" t="n">
        <v>0.9514809807621281</v>
      </c>
      <c r="N10" s="17" t="n">
        <v>22497.14</v>
      </c>
      <c r="O10" s="17" t="n">
        <v>23734.04</v>
      </c>
      <c r="P10" s="33" t="n">
        <v>0.9478849787056902</v>
      </c>
      <c r="Q10" s="17" t="n">
        <v>26551.12</v>
      </c>
      <c r="R10" s="17" t="n">
        <v>28454.98</v>
      </c>
      <c r="S10" s="33" t="n">
        <v>0.9330922038954167</v>
      </c>
      <c r="T10" s="17" t="n">
        <v>34974.1</v>
      </c>
      <c r="U10" s="17" t="n">
        <v>42155.2</v>
      </c>
      <c r="V10" s="33" t="n">
        <v>0.8296509090219001</v>
      </c>
      <c r="W10" s="17" t="n">
        <v>26619.02</v>
      </c>
      <c r="X10" s="17" t="n">
        <v>28488.18</v>
      </c>
      <c r="Y10" s="33" t="n">
        <v>0.9343882269769427</v>
      </c>
      <c r="Z10" s="17" t="n">
        <v>20767.69</v>
      </c>
      <c r="AA10" s="17" t="n">
        <v>22009.92</v>
      </c>
      <c r="AB10" s="33" t="n">
        <v>0.9435604491065847</v>
      </c>
    </row>
    <row r="11" ht="16" customHeight="1">
      <c r="A11" s="5" t="inlineStr">
        <is>
          <t>Br277</t>
        </is>
      </c>
      <c r="B11" s="9" t="n">
        <v>39738.73</v>
      </c>
      <c r="C11" s="9" t="n">
        <v>43545.98</v>
      </c>
      <c r="D11" s="32" t="n">
        <v>0.9125694266152696</v>
      </c>
      <c r="E11" s="9" t="n">
        <v>42697.45</v>
      </c>
      <c r="F11" s="9" t="n">
        <v>47561.19</v>
      </c>
      <c r="G11" s="32" t="n">
        <v>0.8977372096871419</v>
      </c>
      <c r="H11" s="9" t="n">
        <v>37916.95</v>
      </c>
      <c r="I11" s="9" t="n">
        <v>43370.54</v>
      </c>
      <c r="J11" s="32" t="n">
        <v>0.8742558889052338</v>
      </c>
      <c r="K11" s="9" t="n">
        <v>35176.79</v>
      </c>
      <c r="L11" s="9" t="n">
        <v>38945.35</v>
      </c>
      <c r="M11" s="32" t="n">
        <v>0.9032346608773577</v>
      </c>
      <c r="N11" s="9" t="n">
        <v>33976.37</v>
      </c>
      <c r="O11" s="9" t="n">
        <v>37908.15</v>
      </c>
      <c r="P11" s="32" t="n">
        <v>0.8962814065049336</v>
      </c>
      <c r="Q11" s="9" t="n">
        <v>39667.95</v>
      </c>
      <c r="R11" s="9" t="n">
        <v>45749.29</v>
      </c>
      <c r="S11" s="32" t="n">
        <v>0.8670724726001211</v>
      </c>
      <c r="T11" s="9" t="n">
        <v>46698.16</v>
      </c>
      <c r="U11" s="9" t="n">
        <v>54030.95</v>
      </c>
      <c r="V11" s="32" t="n">
        <v>0.8642853771773402</v>
      </c>
      <c r="W11" s="9" t="n">
        <v>39657.81</v>
      </c>
      <c r="X11" s="9" t="n">
        <v>45006.03</v>
      </c>
      <c r="Y11" s="32" t="n">
        <v>0.8811665903435606</v>
      </c>
      <c r="Z11" s="9" t="n">
        <v>38404.84</v>
      </c>
      <c r="AA11" s="9" t="n">
        <v>42127.74</v>
      </c>
      <c r="AB11" s="32" t="n">
        <v>0.9116283000227403</v>
      </c>
    </row>
  </sheetData>
  <mergeCells count="11">
    <mergeCell ref="A2:AB2"/>
    <mergeCell ref="B3:D3"/>
    <mergeCell ref="W3:Y3"/>
    <mergeCell ref="A1:AB1"/>
    <mergeCell ref="T3:V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30" t="inlineStr">
        <is>
          <t>⚙️ JACOMAR | Métricas por Loja × Semana | 23/03 – 24/05/2026</t>
        </is>
      </c>
    </row>
    <row r="2">
      <c r="A2" s="2" t="inlineStr">
        <is>
          <t>Cada tabela mostra uma métrica por semana</t>
        </is>
      </c>
    </row>
    <row r="3" ht="22" customHeight="1">
      <c r="A3" s="34" t="inlineStr">
        <is>
          <t>📦 GMV Faturado (R$)</t>
        </is>
      </c>
    </row>
    <row r="4">
      <c r="A4" s="3" t="inlineStr">
        <is>
          <t>Loja</t>
        </is>
      </c>
      <c r="B4" s="3" t="inlineStr">
        <is>
          <t>23/03–29/03</t>
        </is>
      </c>
      <c r="C4" s="3" t="inlineStr">
        <is>
          <t>30/03–05/04</t>
        </is>
      </c>
      <c r="D4" s="3" t="inlineStr">
        <is>
          <t>06/04–12/04</t>
        </is>
      </c>
      <c r="E4" s="3" t="inlineStr">
        <is>
          <t>13/04–19/04</t>
        </is>
      </c>
      <c r="F4" s="3" t="inlineStr">
        <is>
          <t>20/04–26/04</t>
        </is>
      </c>
      <c r="G4" s="3" t="inlineStr">
        <is>
          <t>27/04–03/05</t>
        </is>
      </c>
      <c r="H4" s="3" t="inlineStr">
        <is>
          <t>04/05–10/05</t>
        </is>
      </c>
      <c r="I4" s="3" t="inlineStr">
        <is>
          <t>11/05–17/05</t>
        </is>
      </c>
      <c r="J4" s="3" t="inlineStr">
        <is>
          <t>18/05–24/05</t>
        </is>
      </c>
      <c r="K4" s="3" t="inlineStr">
        <is>
          <t>Média</t>
        </is>
      </c>
    </row>
    <row r="5" ht="16" customHeight="1">
      <c r="A5" s="5" t="inlineStr">
        <is>
          <t>Maestro</t>
        </is>
      </c>
      <c r="B5" s="9" t="n">
        <v>85500.17999999999</v>
      </c>
      <c r="C5" s="9" t="n">
        <v>106851.48</v>
      </c>
      <c r="D5" s="9" t="n">
        <v>80263.16</v>
      </c>
      <c r="E5" s="9" t="n">
        <v>82892.32000000001</v>
      </c>
      <c r="F5" s="9" t="n">
        <v>79318.14</v>
      </c>
      <c r="G5" s="9" t="n">
        <v>97577.88</v>
      </c>
      <c r="H5" s="9" t="n">
        <v>98084.31</v>
      </c>
      <c r="I5" s="9" t="n">
        <v>81349.38</v>
      </c>
      <c r="J5" s="9" t="n">
        <v>76656.17999999999</v>
      </c>
      <c r="K5" s="35" t="n">
        <v>87610.33666666667</v>
      </c>
    </row>
    <row r="6" ht="16" customHeight="1">
      <c r="A6" s="7" t="inlineStr">
        <is>
          <t>Pinhais</t>
        </is>
      </c>
      <c r="B6" s="17" t="n">
        <v>32734.48</v>
      </c>
      <c r="C6" s="17" t="n">
        <v>42815.25</v>
      </c>
      <c r="D6" s="17" t="n">
        <v>37206.44</v>
      </c>
      <c r="E6" s="17" t="n">
        <v>30889.95</v>
      </c>
      <c r="F6" s="17" t="n">
        <v>33405.34</v>
      </c>
      <c r="G6" s="17" t="n">
        <v>37338.7</v>
      </c>
      <c r="H6" s="17" t="n">
        <v>45092.15</v>
      </c>
      <c r="I6" s="17" t="n">
        <v>38337.65</v>
      </c>
      <c r="J6" s="17" t="n">
        <v>32999.76</v>
      </c>
      <c r="K6" s="36" t="n">
        <v>36757.74666666667</v>
      </c>
    </row>
    <row r="7" ht="16" customHeight="1">
      <c r="A7" s="5" t="inlineStr">
        <is>
          <t>Colônia Rio Grande</t>
        </is>
      </c>
      <c r="B7" s="9" t="n">
        <v>41653.89</v>
      </c>
      <c r="C7" s="9" t="n">
        <v>53569.33</v>
      </c>
      <c r="D7" s="9" t="n">
        <v>44459.96</v>
      </c>
      <c r="E7" s="9" t="n">
        <v>38857.57</v>
      </c>
      <c r="F7" s="9" t="n">
        <v>43207</v>
      </c>
      <c r="G7" s="9" t="n">
        <v>49815.55</v>
      </c>
      <c r="H7" s="9" t="n">
        <v>53337.13</v>
      </c>
      <c r="I7" s="9" t="n">
        <v>34301.85</v>
      </c>
      <c r="J7" s="9" t="n">
        <v>36538.45</v>
      </c>
      <c r="K7" s="35" t="n">
        <v>43971.19222222223</v>
      </c>
    </row>
    <row r="8" ht="16" customHeight="1">
      <c r="A8" s="7" t="inlineStr">
        <is>
          <t>Fazenda Rio Grande</t>
        </is>
      </c>
      <c r="B8" s="17" t="n">
        <v>46017.68</v>
      </c>
      <c r="C8" s="17" t="n">
        <v>56253.2</v>
      </c>
      <c r="D8" s="17" t="n">
        <v>38320.67</v>
      </c>
      <c r="E8" s="17" t="n">
        <v>45169.9</v>
      </c>
      <c r="F8" s="17" t="n">
        <v>43204.55</v>
      </c>
      <c r="G8" s="17" t="n">
        <v>50895.01</v>
      </c>
      <c r="H8" s="17" t="n">
        <v>54477.45</v>
      </c>
      <c r="I8" s="17" t="n">
        <v>43926.56</v>
      </c>
      <c r="J8" s="17" t="n">
        <v>41416.9</v>
      </c>
      <c r="K8" s="36" t="n">
        <v>46631.32444444445</v>
      </c>
    </row>
    <row r="9" ht="16" customHeight="1">
      <c r="A9" s="5" t="inlineStr">
        <is>
          <t>Capão Raso</t>
        </is>
      </c>
      <c r="B9" s="9" t="n">
        <v>57838.8</v>
      </c>
      <c r="C9" s="9" t="n">
        <v>65454.54</v>
      </c>
      <c r="D9" s="9" t="n">
        <v>54992.6</v>
      </c>
      <c r="E9" s="9" t="n">
        <v>53658.04</v>
      </c>
      <c r="F9" s="9" t="n">
        <v>58872.88</v>
      </c>
      <c r="G9" s="9" t="n">
        <v>57755.4</v>
      </c>
      <c r="H9" s="9" t="n">
        <v>53503.43</v>
      </c>
      <c r="I9" s="9" t="n">
        <v>65870.24000000001</v>
      </c>
      <c r="J9" s="9" t="n">
        <v>62790.96</v>
      </c>
      <c r="K9" s="35" t="n">
        <v>58970.76555555555</v>
      </c>
    </row>
    <row r="10" ht="16" customHeight="1">
      <c r="A10" s="7" t="inlineStr">
        <is>
          <t>Ganchinho</t>
        </is>
      </c>
      <c r="B10" s="17" t="n">
        <v>23502.82</v>
      </c>
      <c r="C10" s="17" t="n">
        <v>31273.54</v>
      </c>
      <c r="D10" s="17" t="n">
        <v>26026.09</v>
      </c>
      <c r="E10" s="17" t="n">
        <v>24653.7</v>
      </c>
      <c r="F10" s="17" t="n">
        <v>22497.14</v>
      </c>
      <c r="G10" s="17" t="n">
        <v>26551.12</v>
      </c>
      <c r="H10" s="17" t="n">
        <v>34974.1</v>
      </c>
      <c r="I10" s="17" t="n">
        <v>26619.02</v>
      </c>
      <c r="J10" s="17" t="n">
        <v>20767.69</v>
      </c>
      <c r="K10" s="36" t="n">
        <v>26318.35777777778</v>
      </c>
    </row>
    <row r="11" ht="16" customHeight="1">
      <c r="A11" s="5" t="inlineStr">
        <is>
          <t>Br277</t>
        </is>
      </c>
      <c r="B11" s="9" t="n">
        <v>39738.73</v>
      </c>
      <c r="C11" s="9" t="n">
        <v>42697.45</v>
      </c>
      <c r="D11" s="9" t="n">
        <v>37916.95</v>
      </c>
      <c r="E11" s="9" t="n">
        <v>35176.79</v>
      </c>
      <c r="F11" s="9" t="n">
        <v>33976.37</v>
      </c>
      <c r="G11" s="9" t="n">
        <v>39667.95</v>
      </c>
      <c r="H11" s="9" t="n">
        <v>46698.16</v>
      </c>
      <c r="I11" s="9" t="n">
        <v>39657.81</v>
      </c>
      <c r="J11" s="9" t="n">
        <v>38404.84</v>
      </c>
      <c r="K11" s="35" t="n">
        <v>39326.11666666666</v>
      </c>
    </row>
    <row r="13" ht="22" customHeight="1">
      <c r="A13" s="37" t="inlineStr">
        <is>
          <t>🛒 Pedidos</t>
        </is>
      </c>
    </row>
    <row r="14">
      <c r="A14" s="3" t="inlineStr">
        <is>
          <t>Loja</t>
        </is>
      </c>
      <c r="B14" s="3" t="inlineStr">
        <is>
          <t>23/03–29/03</t>
        </is>
      </c>
      <c r="C14" s="3" t="inlineStr">
        <is>
          <t>30/03–05/04</t>
        </is>
      </c>
      <c r="D14" s="3" t="inlineStr">
        <is>
          <t>06/04–12/04</t>
        </is>
      </c>
      <c r="E14" s="3" t="inlineStr">
        <is>
          <t>13/04–19/04</t>
        </is>
      </c>
      <c r="F14" s="3" t="inlineStr">
        <is>
          <t>20/04–26/04</t>
        </is>
      </c>
      <c r="G14" s="3" t="inlineStr">
        <is>
          <t>27/04–03/05</t>
        </is>
      </c>
      <c r="H14" s="3" t="inlineStr">
        <is>
          <t>04/05–10/05</t>
        </is>
      </c>
      <c r="I14" s="3" t="inlineStr">
        <is>
          <t>11/05–17/05</t>
        </is>
      </c>
      <c r="J14" s="3" t="inlineStr">
        <is>
          <t>18/05–24/05</t>
        </is>
      </c>
      <c r="K14" s="3" t="inlineStr">
        <is>
          <t>Média</t>
        </is>
      </c>
    </row>
    <row r="15" ht="16" customHeight="1">
      <c r="A15" s="5" t="inlineStr">
        <is>
          <t>Maestro</t>
        </is>
      </c>
      <c r="B15" s="9" t="n">
        <v>695</v>
      </c>
      <c r="C15" s="9" t="n">
        <v>779</v>
      </c>
      <c r="D15" s="9" t="n">
        <v>651</v>
      </c>
      <c r="E15" s="9" t="n">
        <v>644</v>
      </c>
      <c r="F15" s="9" t="n">
        <v>646</v>
      </c>
      <c r="G15" s="9" t="n">
        <v>804</v>
      </c>
      <c r="H15" s="9" t="n">
        <v>759</v>
      </c>
      <c r="I15" s="9" t="n">
        <v>644</v>
      </c>
      <c r="J15" s="9" t="n">
        <v>641</v>
      </c>
      <c r="K15" s="35" t="n">
        <v>695.8888888888889</v>
      </c>
    </row>
    <row r="16" ht="16" customHeight="1">
      <c r="A16" s="7" t="inlineStr">
        <is>
          <t>Pinhais</t>
        </is>
      </c>
      <c r="B16" s="17" t="n">
        <v>288</v>
      </c>
      <c r="C16" s="17" t="n">
        <v>351</v>
      </c>
      <c r="D16" s="17" t="n">
        <v>287</v>
      </c>
      <c r="E16" s="17" t="n">
        <v>275</v>
      </c>
      <c r="F16" s="17" t="n">
        <v>299</v>
      </c>
      <c r="G16" s="17" t="n">
        <v>305</v>
      </c>
      <c r="H16" s="17" t="n">
        <v>351</v>
      </c>
      <c r="I16" s="17" t="n">
        <v>349</v>
      </c>
      <c r="J16" s="17" t="n">
        <v>279</v>
      </c>
      <c r="K16" s="36" t="n">
        <v>309.3333333333333</v>
      </c>
    </row>
    <row r="17" ht="16" customHeight="1">
      <c r="A17" s="5" t="inlineStr">
        <is>
          <t>Colônia Rio Grande</t>
        </is>
      </c>
      <c r="B17" s="9" t="n">
        <v>320</v>
      </c>
      <c r="C17" s="9" t="n">
        <v>393</v>
      </c>
      <c r="D17" s="9" t="n">
        <v>327</v>
      </c>
      <c r="E17" s="9" t="n">
        <v>306</v>
      </c>
      <c r="F17" s="9" t="n">
        <v>352</v>
      </c>
      <c r="G17" s="9" t="n">
        <v>357</v>
      </c>
      <c r="H17" s="9" t="n">
        <v>361</v>
      </c>
      <c r="I17" s="9" t="n">
        <v>290</v>
      </c>
      <c r="J17" s="9" t="n">
        <v>307</v>
      </c>
      <c r="K17" s="35" t="n">
        <v>334.7777777777778</v>
      </c>
    </row>
    <row r="18" ht="16" customHeight="1">
      <c r="A18" s="7" t="inlineStr">
        <is>
          <t>Fazenda Rio Grande</t>
        </is>
      </c>
      <c r="B18" s="17" t="n">
        <v>422</v>
      </c>
      <c r="C18" s="17" t="n">
        <v>493</v>
      </c>
      <c r="D18" s="17" t="n">
        <v>342</v>
      </c>
      <c r="E18" s="17" t="n">
        <v>394</v>
      </c>
      <c r="F18" s="17" t="n">
        <v>394</v>
      </c>
      <c r="G18" s="17" t="n">
        <v>433</v>
      </c>
      <c r="H18" s="17" t="n">
        <v>450</v>
      </c>
      <c r="I18" s="17" t="n">
        <v>394</v>
      </c>
      <c r="J18" s="17" t="n">
        <v>357</v>
      </c>
      <c r="K18" s="36" t="n">
        <v>408.7777777777778</v>
      </c>
    </row>
    <row r="19" ht="16" customHeight="1">
      <c r="A19" s="5" t="inlineStr">
        <is>
          <t>Capão Raso</t>
        </is>
      </c>
      <c r="B19" s="9" t="n">
        <v>510</v>
      </c>
      <c r="C19" s="9" t="n">
        <v>582</v>
      </c>
      <c r="D19" s="9" t="n">
        <v>476</v>
      </c>
      <c r="E19" s="9" t="n">
        <v>463</v>
      </c>
      <c r="F19" s="9" t="n">
        <v>521</v>
      </c>
      <c r="G19" s="9" t="n">
        <v>495</v>
      </c>
      <c r="H19" s="9" t="n">
        <v>477</v>
      </c>
      <c r="I19" s="9" t="n">
        <v>574</v>
      </c>
      <c r="J19" s="9" t="n">
        <v>540</v>
      </c>
      <c r="K19" s="35" t="n">
        <v>515.3333333333334</v>
      </c>
    </row>
    <row r="20" ht="16" customHeight="1">
      <c r="A20" s="7" t="inlineStr">
        <is>
          <t>Ganchinho</t>
        </is>
      </c>
      <c r="B20" s="17" t="n">
        <v>173</v>
      </c>
      <c r="C20" s="17" t="n">
        <v>225</v>
      </c>
      <c r="D20" s="17" t="n">
        <v>179</v>
      </c>
      <c r="E20" s="17" t="n">
        <v>194</v>
      </c>
      <c r="F20" s="17" t="n">
        <v>171</v>
      </c>
      <c r="G20" s="17" t="n">
        <v>201</v>
      </c>
      <c r="H20" s="17" t="n">
        <v>220</v>
      </c>
      <c r="I20" s="17" t="n">
        <v>196</v>
      </c>
      <c r="J20" s="17" t="n">
        <v>172</v>
      </c>
      <c r="K20" s="36" t="n">
        <v>192.3333333333333</v>
      </c>
    </row>
    <row r="21" ht="16" customHeight="1">
      <c r="A21" s="5" t="inlineStr">
        <is>
          <t>Br277</t>
        </is>
      </c>
      <c r="B21" s="9" t="n">
        <v>330</v>
      </c>
      <c r="C21" s="9" t="n">
        <v>357</v>
      </c>
      <c r="D21" s="9" t="n">
        <v>309</v>
      </c>
      <c r="E21" s="9" t="n">
        <v>289</v>
      </c>
      <c r="F21" s="9" t="n">
        <v>285</v>
      </c>
      <c r="G21" s="9" t="n">
        <v>335</v>
      </c>
      <c r="H21" s="9" t="n">
        <v>392</v>
      </c>
      <c r="I21" s="9" t="n">
        <v>331</v>
      </c>
      <c r="J21" s="9" t="n">
        <v>328</v>
      </c>
      <c r="K21" s="35" t="n">
        <v>328.4444444444445</v>
      </c>
    </row>
    <row r="23" ht="22" customHeight="1">
      <c r="A23" s="38" t="inlineStr">
        <is>
          <t>✅ SLA % (dentro do prazo)</t>
        </is>
      </c>
    </row>
    <row r="24">
      <c r="A24" s="3" t="inlineStr">
        <is>
          <t>Loja</t>
        </is>
      </c>
      <c r="B24" s="3" t="inlineStr">
        <is>
          <t>23/03–29/03</t>
        </is>
      </c>
      <c r="C24" s="3" t="inlineStr">
        <is>
          <t>30/03–05/04</t>
        </is>
      </c>
      <c r="D24" s="3" t="inlineStr">
        <is>
          <t>06/04–12/04</t>
        </is>
      </c>
      <c r="E24" s="3" t="inlineStr">
        <is>
          <t>13/04–19/04</t>
        </is>
      </c>
      <c r="F24" s="3" t="inlineStr">
        <is>
          <t>20/04–26/04</t>
        </is>
      </c>
      <c r="G24" s="3" t="inlineStr">
        <is>
          <t>27/04–03/05</t>
        </is>
      </c>
      <c r="H24" s="3" t="inlineStr">
        <is>
          <t>04/05–10/05</t>
        </is>
      </c>
      <c r="I24" s="3" t="inlineStr">
        <is>
          <t>11/05–17/05</t>
        </is>
      </c>
      <c r="J24" s="3" t="inlineStr">
        <is>
          <t>18/05–24/05</t>
        </is>
      </c>
      <c r="K24" s="3" t="inlineStr">
        <is>
          <t>Média</t>
        </is>
      </c>
    </row>
    <row r="25" ht="16" customHeight="1">
      <c r="A25" s="5" t="inlineStr">
        <is>
          <t>Maestro</t>
        </is>
      </c>
      <c r="B25" s="14" t="n">
        <v>91.8</v>
      </c>
      <c r="C25" s="14" t="n">
        <v>92.55</v>
      </c>
      <c r="D25" s="14" t="n">
        <v>97.23999999999999</v>
      </c>
      <c r="E25" s="14" t="n">
        <v>98.14</v>
      </c>
      <c r="F25" s="14" t="n">
        <v>94.89</v>
      </c>
      <c r="G25" s="14" t="n">
        <v>86.69</v>
      </c>
      <c r="H25" s="14" t="n">
        <v>86.43000000000001</v>
      </c>
      <c r="I25" s="14" t="n">
        <v>89.13</v>
      </c>
      <c r="J25" s="14" t="n">
        <v>97.04000000000001</v>
      </c>
      <c r="K25" s="39" t="n">
        <v>92.65666666666667</v>
      </c>
    </row>
    <row r="26" ht="16" customHeight="1">
      <c r="A26" s="7" t="inlineStr">
        <is>
          <t>Pinhais</t>
        </is>
      </c>
      <c r="B26" s="18" t="n">
        <v>80.20999999999999</v>
      </c>
      <c r="C26" s="18" t="n">
        <v>90.31</v>
      </c>
      <c r="D26" s="18" t="n">
        <v>96.86</v>
      </c>
      <c r="E26" s="18" t="n">
        <v>96.36</v>
      </c>
      <c r="F26" s="18" t="n">
        <v>96.31999999999999</v>
      </c>
      <c r="G26" s="18" t="n">
        <v>95.41</v>
      </c>
      <c r="H26" s="18" t="n">
        <v>90.59999999999999</v>
      </c>
      <c r="I26" s="18" t="n">
        <v>94.27</v>
      </c>
      <c r="J26" s="18" t="n">
        <v>97.13</v>
      </c>
      <c r="K26" s="40" t="n">
        <v>93.05222222222223</v>
      </c>
    </row>
    <row r="27" ht="16" customHeight="1">
      <c r="A27" s="5" t="inlineStr">
        <is>
          <t>Colônia Rio Grande</t>
        </is>
      </c>
      <c r="B27" s="14" t="n">
        <v>77.81</v>
      </c>
      <c r="C27" s="14" t="n">
        <v>86.26000000000001</v>
      </c>
      <c r="D27" s="14" t="n">
        <v>89.91</v>
      </c>
      <c r="E27" s="14" t="n">
        <v>87.58</v>
      </c>
      <c r="F27" s="14" t="n">
        <v>86.93000000000001</v>
      </c>
      <c r="G27" s="14" t="n">
        <v>82.34999999999999</v>
      </c>
      <c r="H27" s="14" t="n">
        <v>80.33</v>
      </c>
      <c r="I27" s="14" t="n">
        <v>86.55</v>
      </c>
      <c r="J27" s="14" t="n">
        <v>86.97</v>
      </c>
      <c r="K27" s="39" t="n">
        <v>84.96555555555557</v>
      </c>
    </row>
    <row r="28" ht="16" customHeight="1">
      <c r="A28" s="7" t="inlineStr">
        <is>
          <t>Fazenda Rio Grande</t>
        </is>
      </c>
      <c r="B28" s="18" t="n">
        <v>91.23</v>
      </c>
      <c r="C28" s="18" t="n">
        <v>95.54000000000001</v>
      </c>
      <c r="D28" s="18" t="n">
        <v>95.03</v>
      </c>
      <c r="E28" s="18" t="n">
        <v>95.94</v>
      </c>
      <c r="F28" s="18" t="n">
        <v>96.45</v>
      </c>
      <c r="G28" s="18" t="n">
        <v>81.98999999999999</v>
      </c>
      <c r="H28" s="18" t="n">
        <v>67.33</v>
      </c>
      <c r="I28" s="18" t="n">
        <v>79.44</v>
      </c>
      <c r="J28" s="18" t="n">
        <v>84.59</v>
      </c>
      <c r="K28" s="40" t="n">
        <v>87.50444444444446</v>
      </c>
    </row>
    <row r="29" ht="16" customHeight="1">
      <c r="A29" s="5" t="inlineStr">
        <is>
          <t>Capão Raso</t>
        </is>
      </c>
      <c r="B29" s="14" t="n">
        <v>89.22</v>
      </c>
      <c r="C29" s="14" t="n">
        <v>92.95999999999999</v>
      </c>
      <c r="D29" s="14" t="n">
        <v>94.54000000000001</v>
      </c>
      <c r="E29" s="14" t="n">
        <v>93.95</v>
      </c>
      <c r="F29" s="14" t="n">
        <v>96.73999999999999</v>
      </c>
      <c r="G29" s="14" t="n">
        <v>91.31</v>
      </c>
      <c r="H29" s="14" t="n">
        <v>96.23</v>
      </c>
      <c r="I29" s="14" t="n">
        <v>95.64</v>
      </c>
      <c r="J29" s="14" t="n">
        <v>95.56</v>
      </c>
      <c r="K29" s="39" t="n">
        <v>94.01666666666668</v>
      </c>
    </row>
    <row r="30" ht="16" customHeight="1">
      <c r="A30" s="7" t="inlineStr">
        <is>
          <t>Ganchinho</t>
        </is>
      </c>
      <c r="B30" s="18" t="n">
        <v>76.3</v>
      </c>
      <c r="C30" s="18" t="n">
        <v>84</v>
      </c>
      <c r="D30" s="18" t="n">
        <v>83.23999999999999</v>
      </c>
      <c r="E30" s="18" t="n">
        <v>82.47</v>
      </c>
      <c r="F30" s="18" t="n">
        <v>84.8</v>
      </c>
      <c r="G30" s="18" t="n">
        <v>82.59</v>
      </c>
      <c r="H30" s="18" t="n">
        <v>60.91</v>
      </c>
      <c r="I30" s="18" t="n">
        <v>87.23999999999999</v>
      </c>
      <c r="J30" s="18" t="n">
        <v>88.95</v>
      </c>
      <c r="K30" s="40" t="n">
        <v>81.16666666666667</v>
      </c>
    </row>
    <row r="31" ht="16" customHeight="1">
      <c r="A31" s="5" t="inlineStr">
        <is>
          <t>Br277</t>
        </is>
      </c>
      <c r="B31" s="14" t="n">
        <v>93.33</v>
      </c>
      <c r="C31" s="14" t="n">
        <v>95.23999999999999</v>
      </c>
      <c r="D31" s="14" t="n">
        <v>96.76000000000001</v>
      </c>
      <c r="E31" s="14" t="n">
        <v>94.45999999999999</v>
      </c>
      <c r="F31" s="14" t="n">
        <v>94.04000000000001</v>
      </c>
      <c r="G31" s="14" t="n">
        <v>94.63</v>
      </c>
      <c r="H31" s="14" t="n">
        <v>85.97</v>
      </c>
      <c r="I31" s="14" t="n">
        <v>95.47</v>
      </c>
      <c r="J31" s="14" t="n">
        <v>95.43000000000001</v>
      </c>
      <c r="K31" s="39" t="n">
        <v>93.92555555555555</v>
      </c>
    </row>
    <row r="33" ht="22" customHeight="1">
      <c r="A33" s="41" t="inlineStr">
        <is>
          <t>⏱️ NSU % (preparação &gt;15min)</t>
        </is>
      </c>
    </row>
    <row r="34">
      <c r="A34" s="3" t="inlineStr">
        <is>
          <t>Loja</t>
        </is>
      </c>
      <c r="B34" s="3" t="inlineStr">
        <is>
          <t>23/03–29/03</t>
        </is>
      </c>
      <c r="C34" s="3" t="inlineStr">
        <is>
          <t>30/03–05/04</t>
        </is>
      </c>
      <c r="D34" s="3" t="inlineStr">
        <is>
          <t>06/04–12/04</t>
        </is>
      </c>
      <c r="E34" s="3" t="inlineStr">
        <is>
          <t>13/04–19/04</t>
        </is>
      </c>
      <c r="F34" s="3" t="inlineStr">
        <is>
          <t>20/04–26/04</t>
        </is>
      </c>
      <c r="G34" s="3" t="inlineStr">
        <is>
          <t>27/04–03/05</t>
        </is>
      </c>
      <c r="H34" s="3" t="inlineStr">
        <is>
          <t>04/05–10/05</t>
        </is>
      </c>
      <c r="I34" s="3" t="inlineStr">
        <is>
          <t>11/05–17/05</t>
        </is>
      </c>
      <c r="J34" s="3" t="inlineStr">
        <is>
          <t>18/05–24/05</t>
        </is>
      </c>
      <c r="K34" s="3" t="inlineStr">
        <is>
          <t>Média</t>
        </is>
      </c>
    </row>
    <row r="35" ht="16" customHeight="1">
      <c r="A35" s="5" t="inlineStr">
        <is>
          <t>Maestro</t>
        </is>
      </c>
      <c r="B35" s="14" t="n">
        <v>0.29</v>
      </c>
      <c r="C35" s="14" t="n">
        <v>0.77</v>
      </c>
      <c r="D35" s="14" t="n">
        <v>0</v>
      </c>
      <c r="E35" s="14" t="n">
        <v>0.16</v>
      </c>
      <c r="F35" s="14" t="n">
        <v>0</v>
      </c>
      <c r="G35" s="14" t="n">
        <v>0</v>
      </c>
      <c r="H35" s="14" t="n">
        <v>0.66</v>
      </c>
      <c r="I35" s="14" t="n">
        <v>0</v>
      </c>
      <c r="J35" s="14" t="n">
        <v>0</v>
      </c>
      <c r="K35" s="39" t="n">
        <v>0.47</v>
      </c>
    </row>
    <row r="36" ht="16" customHeight="1">
      <c r="A36" s="7" t="inlineStr">
        <is>
          <t>Pinhais</t>
        </is>
      </c>
      <c r="B36" s="18" t="n">
        <v>1.74</v>
      </c>
      <c r="C36" s="18" t="n">
        <v>1.71</v>
      </c>
      <c r="D36" s="18" t="n">
        <v>0.35</v>
      </c>
      <c r="E36" s="18" t="n">
        <v>0.36</v>
      </c>
      <c r="F36" s="18" t="n">
        <v>1</v>
      </c>
      <c r="G36" s="18" t="n">
        <v>1.64</v>
      </c>
      <c r="H36" s="18" t="n">
        <v>2.56</v>
      </c>
      <c r="I36" s="18" t="n">
        <v>0</v>
      </c>
      <c r="J36" s="18" t="n">
        <v>0.72</v>
      </c>
      <c r="K36" s="40" t="n">
        <v>1.26</v>
      </c>
    </row>
    <row r="37" ht="16" customHeight="1">
      <c r="A37" s="5" t="inlineStr">
        <is>
          <t>Colônia Rio Grande</t>
        </is>
      </c>
      <c r="B37" s="14" t="n">
        <v>7.81</v>
      </c>
      <c r="C37" s="14" t="n">
        <v>9.67</v>
      </c>
      <c r="D37" s="14" t="n">
        <v>5.81</v>
      </c>
      <c r="E37" s="14" t="n">
        <v>1.96</v>
      </c>
      <c r="F37" s="14" t="n">
        <v>2.56</v>
      </c>
      <c r="G37" s="14" t="n">
        <v>4.48</v>
      </c>
      <c r="H37" s="14" t="n">
        <v>6.09</v>
      </c>
      <c r="I37" s="14" t="n">
        <v>3.45</v>
      </c>
      <c r="J37" s="14" t="n">
        <v>0.33</v>
      </c>
      <c r="K37" s="39" t="n">
        <v>4.684444444444444</v>
      </c>
    </row>
    <row r="38" ht="16" customHeight="1">
      <c r="A38" s="7" t="inlineStr">
        <is>
          <t>Fazenda Rio Grande</t>
        </is>
      </c>
      <c r="B38" s="18" t="n">
        <v>0</v>
      </c>
      <c r="C38" s="18" t="n">
        <v>1.01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3.33</v>
      </c>
      <c r="I38" s="18" t="n">
        <v>1.52</v>
      </c>
      <c r="J38" s="18" t="n">
        <v>1.4</v>
      </c>
      <c r="K38" s="40" t="n">
        <v>1.815</v>
      </c>
    </row>
    <row r="39" ht="16" customHeight="1">
      <c r="A39" s="5" t="inlineStr">
        <is>
          <t>Capão Raso</t>
        </is>
      </c>
      <c r="B39" s="14" t="n">
        <v>0</v>
      </c>
      <c r="C39" s="14" t="n">
        <v>0</v>
      </c>
      <c r="D39" s="14" t="n">
        <v>0.63</v>
      </c>
      <c r="E39" s="14" t="n">
        <v>0.65</v>
      </c>
      <c r="F39" s="14" t="n">
        <v>0.58</v>
      </c>
      <c r="G39" s="14" t="n">
        <v>1.41</v>
      </c>
      <c r="H39" s="14" t="n">
        <v>0.63</v>
      </c>
      <c r="I39" s="14" t="n">
        <v>0.52</v>
      </c>
      <c r="J39" s="14" t="n">
        <v>0.37</v>
      </c>
      <c r="K39" s="39" t="n">
        <v>0.6842857142857143</v>
      </c>
    </row>
    <row r="40" ht="16" customHeight="1">
      <c r="A40" s="7" t="inlineStr">
        <is>
          <t>Ganchinho</t>
        </is>
      </c>
      <c r="B40" s="18" t="n">
        <v>2.31</v>
      </c>
      <c r="C40" s="18" t="n">
        <v>0</v>
      </c>
      <c r="D40" s="18" t="n">
        <v>2.23</v>
      </c>
      <c r="E40" s="18" t="n">
        <v>3.09</v>
      </c>
      <c r="F40" s="18" t="n">
        <v>0</v>
      </c>
      <c r="G40" s="18" t="n">
        <v>0</v>
      </c>
      <c r="H40" s="18" t="n">
        <v>11.36</v>
      </c>
      <c r="I40" s="18" t="n">
        <v>2.04</v>
      </c>
      <c r="J40" s="18" t="n">
        <v>0</v>
      </c>
      <c r="K40" s="40" t="n">
        <v>4.206</v>
      </c>
    </row>
    <row r="41" ht="16" customHeight="1">
      <c r="A41" s="5" t="inlineStr">
        <is>
          <t>Br277</t>
        </is>
      </c>
      <c r="B41" s="14" t="n">
        <v>0.3</v>
      </c>
      <c r="C41" s="14" t="n">
        <v>1.96</v>
      </c>
      <c r="D41" s="14" t="n">
        <v>1.62</v>
      </c>
      <c r="E41" s="14" t="n">
        <v>1.38</v>
      </c>
      <c r="F41" s="14" t="n">
        <v>8.42</v>
      </c>
      <c r="G41" s="14" t="n">
        <v>4.18</v>
      </c>
      <c r="H41" s="14" t="n">
        <v>2.81</v>
      </c>
      <c r="I41" s="14" t="n">
        <v>1.51</v>
      </c>
      <c r="J41" s="14" t="n">
        <v>1.52</v>
      </c>
      <c r="K41" s="39" t="n">
        <v>2.633333333333333</v>
      </c>
    </row>
    <row r="43" ht="22" customHeight="1">
      <c r="A43" s="42" t="inlineStr">
        <is>
          <t>📦 Ruptura Pedido %</t>
        </is>
      </c>
    </row>
    <row r="44">
      <c r="A44" s="3" t="inlineStr">
        <is>
          <t>Loja</t>
        </is>
      </c>
      <c r="B44" s="3" t="inlineStr">
        <is>
          <t>23/03–29/03</t>
        </is>
      </c>
      <c r="C44" s="3" t="inlineStr">
        <is>
          <t>30/03–05/04</t>
        </is>
      </c>
      <c r="D44" s="3" t="inlineStr">
        <is>
          <t>06/04–12/04</t>
        </is>
      </c>
      <c r="E44" s="3" t="inlineStr">
        <is>
          <t>13/04–19/04</t>
        </is>
      </c>
      <c r="F44" s="3" t="inlineStr">
        <is>
          <t>20/04–26/04</t>
        </is>
      </c>
      <c r="G44" s="3" t="inlineStr">
        <is>
          <t>27/04–03/05</t>
        </is>
      </c>
      <c r="H44" s="3" t="inlineStr">
        <is>
          <t>04/05–10/05</t>
        </is>
      </c>
      <c r="I44" s="3" t="inlineStr">
        <is>
          <t>11/05–17/05</t>
        </is>
      </c>
      <c r="J44" s="3" t="inlineStr">
        <is>
          <t>18/05–24/05</t>
        </is>
      </c>
      <c r="K44" s="3" t="inlineStr">
        <is>
          <t>Média</t>
        </is>
      </c>
    </row>
    <row r="45" ht="16" customHeight="1">
      <c r="A45" s="5" t="inlineStr">
        <is>
          <t>Maestro</t>
        </is>
      </c>
      <c r="B45" s="14" t="n">
        <v>24.46</v>
      </c>
      <c r="C45" s="14" t="n">
        <v>30.3</v>
      </c>
      <c r="D45" s="14" t="n">
        <v>35.79</v>
      </c>
      <c r="E45" s="14" t="n">
        <v>28.88</v>
      </c>
      <c r="F45" s="14" t="n">
        <v>25.54</v>
      </c>
      <c r="G45" s="14" t="n">
        <v>25.25</v>
      </c>
      <c r="H45" s="14" t="n">
        <v>33.86</v>
      </c>
      <c r="I45" s="14" t="n">
        <v>33.54</v>
      </c>
      <c r="J45" s="14" t="n">
        <v>23.4</v>
      </c>
      <c r="K45" s="39" t="n">
        <v>29.00222222222222</v>
      </c>
    </row>
    <row r="46" ht="16" customHeight="1">
      <c r="A46" s="7" t="inlineStr">
        <is>
          <t>Pinhais</t>
        </is>
      </c>
      <c r="B46" s="18" t="n">
        <v>29.51</v>
      </c>
      <c r="C46" s="18" t="n">
        <v>29.34</v>
      </c>
      <c r="D46" s="18" t="n">
        <v>32.75</v>
      </c>
      <c r="E46" s="18" t="n">
        <v>36</v>
      </c>
      <c r="F46" s="18" t="n">
        <v>35.12</v>
      </c>
      <c r="G46" s="18" t="n">
        <v>36.72</v>
      </c>
      <c r="H46" s="18" t="n">
        <v>38.18</v>
      </c>
      <c r="I46" s="18" t="n">
        <v>44.7</v>
      </c>
      <c r="J46" s="18" t="n">
        <v>35.13</v>
      </c>
      <c r="K46" s="40" t="n">
        <v>35.27222222222222</v>
      </c>
    </row>
    <row r="47" ht="16" customHeight="1">
      <c r="A47" s="5" t="inlineStr">
        <is>
          <t>Colônia Rio Grande</t>
        </is>
      </c>
      <c r="B47" s="14" t="n">
        <v>28.44</v>
      </c>
      <c r="C47" s="14" t="n">
        <v>31.81</v>
      </c>
      <c r="D47" s="14" t="n">
        <v>29.97</v>
      </c>
      <c r="E47" s="14" t="n">
        <v>29.08</v>
      </c>
      <c r="F47" s="14" t="n">
        <v>36.36</v>
      </c>
      <c r="G47" s="14" t="n">
        <v>29.69</v>
      </c>
      <c r="H47" s="14" t="n">
        <v>46.54</v>
      </c>
      <c r="I47" s="14" t="n">
        <v>48.28</v>
      </c>
      <c r="J47" s="14" t="n">
        <v>42.35</v>
      </c>
      <c r="K47" s="39" t="n">
        <v>35.83555555555556</v>
      </c>
    </row>
    <row r="48" ht="16" customHeight="1">
      <c r="A48" s="7" t="inlineStr">
        <is>
          <t>Fazenda Rio Grande</t>
        </is>
      </c>
      <c r="B48" s="18" t="n">
        <v>14.93</v>
      </c>
      <c r="C48" s="18" t="n">
        <v>23.53</v>
      </c>
      <c r="D48" s="18" t="n">
        <v>28.36</v>
      </c>
      <c r="E48" s="18" t="n">
        <v>19.04</v>
      </c>
      <c r="F48" s="18" t="n">
        <v>20.81</v>
      </c>
      <c r="G48" s="18" t="n">
        <v>25.87</v>
      </c>
      <c r="H48" s="18" t="n">
        <v>25.11</v>
      </c>
      <c r="I48" s="18" t="n">
        <v>20.81</v>
      </c>
      <c r="J48" s="18" t="n">
        <v>15.13</v>
      </c>
      <c r="K48" s="40" t="n">
        <v>21.51</v>
      </c>
    </row>
    <row r="49" ht="16" customHeight="1">
      <c r="A49" s="5" t="inlineStr">
        <is>
          <t>Capão Raso</t>
        </is>
      </c>
      <c r="B49" s="14" t="n">
        <v>33.14</v>
      </c>
      <c r="C49" s="14" t="n">
        <v>38.32</v>
      </c>
      <c r="D49" s="14" t="n">
        <v>38.66</v>
      </c>
      <c r="E49" s="14" t="n">
        <v>34.34</v>
      </c>
      <c r="F49" s="14" t="n">
        <v>34.93</v>
      </c>
      <c r="G49" s="14" t="n">
        <v>36.16</v>
      </c>
      <c r="H49" s="14" t="n">
        <v>41.3</v>
      </c>
      <c r="I49" s="14" t="n">
        <v>42.16</v>
      </c>
      <c r="J49" s="14" t="n">
        <v>42.96</v>
      </c>
      <c r="K49" s="39" t="n">
        <v>37.99666666666666</v>
      </c>
    </row>
    <row r="50" ht="16" customHeight="1">
      <c r="A50" s="7" t="inlineStr">
        <is>
          <t>Ganchinho</t>
        </is>
      </c>
      <c r="B50" s="18" t="n">
        <v>27.17</v>
      </c>
      <c r="C50" s="18" t="n">
        <v>35.11</v>
      </c>
      <c r="D50" s="18" t="n">
        <v>37.43</v>
      </c>
      <c r="E50" s="18" t="n">
        <v>23.71</v>
      </c>
      <c r="F50" s="18" t="n">
        <v>29.24</v>
      </c>
      <c r="G50" s="18" t="n">
        <v>32.84</v>
      </c>
      <c r="H50" s="18" t="n">
        <v>29.55</v>
      </c>
      <c r="I50" s="18" t="n">
        <v>34.69</v>
      </c>
      <c r="J50" s="18" t="n">
        <v>27.33</v>
      </c>
      <c r="K50" s="40" t="n">
        <v>30.78555555555555</v>
      </c>
    </row>
    <row r="51" ht="16" customHeight="1">
      <c r="A51" s="5" t="inlineStr">
        <is>
          <t>Br277</t>
        </is>
      </c>
      <c r="B51" s="14" t="n">
        <v>50</v>
      </c>
      <c r="C51" s="14" t="n">
        <v>45.38</v>
      </c>
      <c r="D51" s="14" t="n">
        <v>52.1</v>
      </c>
      <c r="E51" s="14" t="n">
        <v>44.64</v>
      </c>
      <c r="F51" s="14" t="n">
        <v>48.07</v>
      </c>
      <c r="G51" s="14" t="n">
        <v>50.45</v>
      </c>
      <c r="H51" s="14" t="n">
        <v>45.41</v>
      </c>
      <c r="I51" s="14" t="n">
        <v>48.94</v>
      </c>
      <c r="J51" s="14" t="n">
        <v>38.72</v>
      </c>
      <c r="K51" s="39" t="n">
        <v>47.07888888888889</v>
      </c>
    </row>
    <row r="53" ht="22" customHeight="1">
      <c r="A53" s="43" t="inlineStr">
        <is>
          <t>🔴 Ruptura Item %</t>
        </is>
      </c>
    </row>
    <row r="54">
      <c r="A54" s="3" t="inlineStr">
        <is>
          <t>Loja</t>
        </is>
      </c>
      <c r="B54" s="3" t="inlineStr">
        <is>
          <t>23/03–29/03</t>
        </is>
      </c>
      <c r="C54" s="3" t="inlineStr">
        <is>
          <t>30/03–05/04</t>
        </is>
      </c>
      <c r="D54" s="3" t="inlineStr">
        <is>
          <t>06/04–12/04</t>
        </is>
      </c>
      <c r="E54" s="3" t="inlineStr">
        <is>
          <t>13/04–19/04</t>
        </is>
      </c>
      <c r="F54" s="3" t="inlineStr">
        <is>
          <t>20/04–26/04</t>
        </is>
      </c>
      <c r="G54" s="3" t="inlineStr">
        <is>
          <t>27/04–03/05</t>
        </is>
      </c>
      <c r="H54" s="3" t="inlineStr">
        <is>
          <t>04/05–10/05</t>
        </is>
      </c>
      <c r="I54" s="3" t="inlineStr">
        <is>
          <t>11/05–17/05</t>
        </is>
      </c>
      <c r="J54" s="3" t="inlineStr">
        <is>
          <t>18/05–24/05</t>
        </is>
      </c>
      <c r="K54" s="3" t="inlineStr">
        <is>
          <t>Média</t>
        </is>
      </c>
    </row>
    <row r="55" ht="16" customHeight="1">
      <c r="A55" s="5" t="inlineStr">
        <is>
          <t>Maestro</t>
        </is>
      </c>
      <c r="B55" s="14" t="n">
        <v>3.27</v>
      </c>
      <c r="C55" s="14" t="n">
        <v>4.33</v>
      </c>
      <c r="D55" s="14" t="n">
        <v>4.91</v>
      </c>
      <c r="E55" s="14" t="n">
        <v>4.06</v>
      </c>
      <c r="F55" s="14" t="n">
        <v>3.81</v>
      </c>
      <c r="G55" s="14" t="n">
        <v>3.37</v>
      </c>
      <c r="H55" s="14" t="n">
        <v>4.89</v>
      </c>
      <c r="I55" s="14" t="n">
        <v>4.71</v>
      </c>
      <c r="J55" s="14" t="n">
        <v>3.13</v>
      </c>
      <c r="K55" s="39" t="n">
        <v>4.053333333333334</v>
      </c>
    </row>
    <row r="56" ht="16" customHeight="1">
      <c r="A56" s="7" t="inlineStr">
        <is>
          <t>Pinhais</t>
        </is>
      </c>
      <c r="B56" s="18" t="n">
        <v>4.25</v>
      </c>
      <c r="C56" s="18" t="n">
        <v>4.42</v>
      </c>
      <c r="D56" s="18" t="n">
        <v>4.83</v>
      </c>
      <c r="E56" s="18" t="n">
        <v>4.85</v>
      </c>
      <c r="F56" s="18" t="n">
        <v>5.15</v>
      </c>
      <c r="G56" s="18" t="n">
        <v>5.15</v>
      </c>
      <c r="H56" s="18" t="n">
        <v>5.47</v>
      </c>
      <c r="I56" s="18" t="n">
        <v>6.91</v>
      </c>
      <c r="J56" s="18" t="n">
        <v>5.39</v>
      </c>
      <c r="K56" s="40" t="n">
        <v>5.157777777777778</v>
      </c>
    </row>
    <row r="57" ht="16" customHeight="1">
      <c r="A57" s="5" t="inlineStr">
        <is>
          <t>Colônia Rio Grande</t>
        </is>
      </c>
      <c r="B57" s="14" t="n">
        <v>3.44</v>
      </c>
      <c r="C57" s="14" t="n">
        <v>4.1</v>
      </c>
      <c r="D57" s="14" t="n">
        <v>4.39</v>
      </c>
      <c r="E57" s="14" t="n">
        <v>3.3</v>
      </c>
      <c r="F57" s="14" t="n">
        <v>4.57</v>
      </c>
      <c r="G57" s="14" t="n">
        <v>3.43</v>
      </c>
      <c r="H57" s="14" t="n">
        <v>6.49</v>
      </c>
      <c r="I57" s="14" t="n">
        <v>7.03</v>
      </c>
      <c r="J57" s="14" t="n">
        <v>6.67</v>
      </c>
      <c r="K57" s="39" t="n">
        <v>4.824444444444445</v>
      </c>
    </row>
    <row r="58" ht="16" customHeight="1">
      <c r="A58" s="7" t="inlineStr">
        <is>
          <t>Fazenda Rio Grande</t>
        </is>
      </c>
      <c r="B58" s="18" t="n">
        <v>1.86</v>
      </c>
      <c r="C58" s="18" t="n">
        <v>3.43</v>
      </c>
      <c r="D58" s="18" t="n">
        <v>3.95</v>
      </c>
      <c r="E58" s="18" t="n">
        <v>2.52</v>
      </c>
      <c r="F58" s="18" t="n">
        <v>2.44</v>
      </c>
      <c r="G58" s="18" t="n">
        <v>3.36</v>
      </c>
      <c r="H58" s="18" t="n">
        <v>3.39</v>
      </c>
      <c r="I58" s="18" t="n">
        <v>2.7</v>
      </c>
      <c r="J58" s="18" t="n">
        <v>1.68</v>
      </c>
      <c r="K58" s="40" t="n">
        <v>2.814444444444445</v>
      </c>
    </row>
    <row r="59" ht="16" customHeight="1">
      <c r="A59" s="5" t="inlineStr">
        <is>
          <t>Capão Raso</t>
        </is>
      </c>
      <c r="B59" s="14" t="n">
        <v>5.29</v>
      </c>
      <c r="C59" s="14" t="n">
        <v>6.86</v>
      </c>
      <c r="D59" s="14" t="n">
        <v>6.66</v>
      </c>
      <c r="E59" s="14" t="n">
        <v>5.33</v>
      </c>
      <c r="F59" s="14" t="n">
        <v>5.3</v>
      </c>
      <c r="G59" s="14" t="n">
        <v>5.5</v>
      </c>
      <c r="H59" s="14" t="n">
        <v>6.79</v>
      </c>
      <c r="I59" s="14" t="n">
        <v>6.46</v>
      </c>
      <c r="J59" s="14" t="n">
        <v>6.46</v>
      </c>
      <c r="K59" s="39" t="n">
        <v>6.072222222222222</v>
      </c>
    </row>
    <row r="60" ht="16" customHeight="1">
      <c r="A60" s="7" t="inlineStr">
        <is>
          <t>Ganchinho</t>
        </is>
      </c>
      <c r="B60" s="18" t="n">
        <v>3.36</v>
      </c>
      <c r="C60" s="18" t="n">
        <v>4.63</v>
      </c>
      <c r="D60" s="18" t="n">
        <v>4.33</v>
      </c>
      <c r="E60" s="18" t="n">
        <v>2.9</v>
      </c>
      <c r="F60" s="18" t="n">
        <v>3.87</v>
      </c>
      <c r="G60" s="18" t="n">
        <v>3.85</v>
      </c>
      <c r="H60" s="18" t="n">
        <v>4.08</v>
      </c>
      <c r="I60" s="18" t="n">
        <v>4.52</v>
      </c>
      <c r="J60" s="18" t="n">
        <v>3.5</v>
      </c>
      <c r="K60" s="40" t="n">
        <v>3.893333333333333</v>
      </c>
    </row>
    <row r="61" ht="16" customHeight="1">
      <c r="A61" s="5" t="inlineStr">
        <is>
          <t>Br277</t>
        </is>
      </c>
      <c r="B61" s="14" t="n">
        <v>8.74</v>
      </c>
      <c r="C61" s="14" t="n">
        <v>7.99</v>
      </c>
      <c r="D61" s="14" t="n">
        <v>8.66</v>
      </c>
      <c r="E61" s="14" t="n">
        <v>6.63</v>
      </c>
      <c r="F61" s="14" t="n">
        <v>8.31</v>
      </c>
      <c r="G61" s="14" t="n">
        <v>8.73</v>
      </c>
      <c r="H61" s="14" t="n">
        <v>7.98</v>
      </c>
      <c r="I61" s="14" t="n">
        <v>8.76</v>
      </c>
      <c r="J61" s="14" t="n">
        <v>6.31</v>
      </c>
      <c r="K61" s="39" t="n">
        <v>8.012222222222222</v>
      </c>
    </row>
    <row r="63" ht="22" customHeight="1">
      <c r="A63" s="44" t="inlineStr">
        <is>
          <t>⚠️ Score Criticidade</t>
        </is>
      </c>
    </row>
    <row r="64">
      <c r="A64" s="3" t="inlineStr">
        <is>
          <t>Loja</t>
        </is>
      </c>
      <c r="B64" s="3" t="inlineStr">
        <is>
          <t>23/03–29/03</t>
        </is>
      </c>
      <c r="C64" s="3" t="inlineStr">
        <is>
          <t>30/03–05/04</t>
        </is>
      </c>
      <c r="D64" s="3" t="inlineStr">
        <is>
          <t>06/04–12/04</t>
        </is>
      </c>
      <c r="E64" s="3" t="inlineStr">
        <is>
          <t>13/04–19/04</t>
        </is>
      </c>
      <c r="F64" s="3" t="inlineStr">
        <is>
          <t>20/04–26/04</t>
        </is>
      </c>
      <c r="G64" s="3" t="inlineStr">
        <is>
          <t>27/04–03/05</t>
        </is>
      </c>
      <c r="H64" s="3" t="inlineStr">
        <is>
          <t>04/05–10/05</t>
        </is>
      </c>
      <c r="I64" s="3" t="inlineStr">
        <is>
          <t>11/05–17/05</t>
        </is>
      </c>
      <c r="J64" s="3" t="inlineStr">
        <is>
          <t>18/05–24/05</t>
        </is>
      </c>
      <c r="K64" s="3" t="inlineStr">
        <is>
          <t>Média</t>
        </is>
      </c>
    </row>
    <row r="65" ht="16" customHeight="1">
      <c r="A65" s="5" t="inlineStr">
        <is>
          <t>Maestro</t>
        </is>
      </c>
      <c r="B65" s="15" t="n">
        <v>5.58</v>
      </c>
      <c r="C65" s="15" t="n">
        <v>12.88</v>
      </c>
      <c r="D65" s="15" t="n">
        <v>19.74</v>
      </c>
      <c r="E65" s="15" t="n">
        <v>11.1</v>
      </c>
      <c r="F65" s="15" t="n">
        <v>6.92</v>
      </c>
      <c r="G65" s="15" t="n">
        <v>6.56</v>
      </c>
      <c r="H65" s="15" t="n">
        <v>17.32</v>
      </c>
      <c r="I65" s="15" t="n">
        <v>16.92</v>
      </c>
      <c r="J65" s="15" t="n">
        <v>4.25</v>
      </c>
      <c r="K65" s="45" t="n">
        <v>11.25222222222222</v>
      </c>
    </row>
    <row r="66" ht="16" customHeight="1">
      <c r="A66" s="7" t="inlineStr">
        <is>
          <t>Pinhais</t>
        </is>
      </c>
      <c r="B66" s="19" t="n">
        <v>11.89</v>
      </c>
      <c r="C66" s="19" t="n">
        <v>11.67</v>
      </c>
      <c r="D66" s="19" t="n">
        <v>15.94</v>
      </c>
      <c r="E66" s="19" t="n">
        <v>20</v>
      </c>
      <c r="F66" s="19" t="n">
        <v>18.9</v>
      </c>
      <c r="G66" s="19" t="n">
        <v>20.9</v>
      </c>
      <c r="H66" s="19" t="n">
        <v>22.73</v>
      </c>
      <c r="I66" s="19" t="n">
        <v>30.88</v>
      </c>
      <c r="J66" s="19" t="n">
        <v>18.91</v>
      </c>
      <c r="K66" s="46" t="n">
        <v>19.09111111111111</v>
      </c>
    </row>
    <row r="67" ht="16" customHeight="1">
      <c r="A67" s="5" t="inlineStr">
        <is>
          <t>Colônia Rio Grande</t>
        </is>
      </c>
      <c r="B67" s="15" t="n">
        <v>10.55</v>
      </c>
      <c r="C67" s="15" t="n">
        <v>14.76</v>
      </c>
      <c r="D67" s="15" t="n">
        <v>12.46</v>
      </c>
      <c r="E67" s="15" t="n">
        <v>11.35</v>
      </c>
      <c r="F67" s="15" t="n">
        <v>20.45</v>
      </c>
      <c r="G67" s="15" t="n">
        <v>12.11</v>
      </c>
      <c r="H67" s="15" t="n">
        <v>33.17</v>
      </c>
      <c r="I67" s="15" t="n">
        <v>35.35</v>
      </c>
      <c r="J67" s="15" t="n">
        <v>27.94</v>
      </c>
      <c r="K67" s="45" t="n">
        <v>19.79333333333334</v>
      </c>
    </row>
    <row r="68" ht="16" customHeight="1">
      <c r="A68" s="7" t="inlineStr">
        <is>
          <t>Fazenda Rio Grande</t>
        </is>
      </c>
      <c r="B68" s="19" t="n">
        <v>0</v>
      </c>
      <c r="C68" s="19" t="n">
        <v>4.41</v>
      </c>
      <c r="D68" s="19" t="n">
        <v>10.45</v>
      </c>
      <c r="E68" s="19" t="n">
        <v>0</v>
      </c>
      <c r="F68" s="19" t="n">
        <v>1.01</v>
      </c>
      <c r="G68" s="19" t="n">
        <v>7.34</v>
      </c>
      <c r="H68" s="19" t="n">
        <v>8.94</v>
      </c>
      <c r="I68" s="19" t="n">
        <v>1.01</v>
      </c>
      <c r="J68" s="19" t="n">
        <v>0</v>
      </c>
      <c r="K68" s="46" t="n">
        <v>5.526666666666666</v>
      </c>
    </row>
    <row r="69" ht="16" customHeight="1">
      <c r="A69" s="5" t="inlineStr">
        <is>
          <t>Capão Raso</t>
        </is>
      </c>
      <c r="B69" s="15" t="n">
        <v>16.43</v>
      </c>
      <c r="C69" s="15" t="n">
        <v>22.9</v>
      </c>
      <c r="D69" s="15" t="n">
        <v>23.32</v>
      </c>
      <c r="E69" s="15" t="n">
        <v>17.93</v>
      </c>
      <c r="F69" s="15" t="n">
        <v>18.66</v>
      </c>
      <c r="G69" s="15" t="n">
        <v>20.2</v>
      </c>
      <c r="H69" s="15" t="n">
        <v>26.62</v>
      </c>
      <c r="I69" s="15" t="n">
        <v>27.7</v>
      </c>
      <c r="J69" s="15" t="n">
        <v>28.7</v>
      </c>
      <c r="K69" s="45" t="n">
        <v>22.49555555555555</v>
      </c>
    </row>
    <row r="70" ht="16" customHeight="1">
      <c r="A70" s="7" t="inlineStr">
        <is>
          <t>Ganchinho</t>
        </is>
      </c>
      <c r="B70" s="19" t="n">
        <v>8.960000000000001</v>
      </c>
      <c r="C70" s="19" t="n">
        <v>18.89</v>
      </c>
      <c r="D70" s="19" t="n">
        <v>21.79</v>
      </c>
      <c r="E70" s="19" t="n">
        <v>4.64</v>
      </c>
      <c r="F70" s="19" t="n">
        <v>11.55</v>
      </c>
      <c r="G70" s="19" t="n">
        <v>16.05</v>
      </c>
      <c r="H70" s="19" t="n">
        <v>16.63</v>
      </c>
      <c r="I70" s="19" t="n">
        <v>18.36</v>
      </c>
      <c r="J70" s="19" t="n">
        <v>9.16</v>
      </c>
      <c r="K70" s="46" t="n">
        <v>14.00333333333333</v>
      </c>
    </row>
    <row r="71" ht="16" customHeight="1">
      <c r="A71" s="5" t="inlineStr">
        <is>
          <t>Br277</t>
        </is>
      </c>
      <c r="B71" s="15" t="n">
        <v>37.5</v>
      </c>
      <c r="C71" s="15" t="n">
        <v>31.73</v>
      </c>
      <c r="D71" s="15" t="n">
        <v>40.12</v>
      </c>
      <c r="E71" s="15" t="n">
        <v>30.8</v>
      </c>
      <c r="F71" s="15" t="n">
        <v>35.09</v>
      </c>
      <c r="G71" s="15" t="n">
        <v>38.06</v>
      </c>
      <c r="H71" s="15" t="n">
        <v>31.76</v>
      </c>
      <c r="I71" s="15" t="n">
        <v>36.17</v>
      </c>
      <c r="J71" s="15" t="n">
        <v>23.4</v>
      </c>
      <c r="K71" s="45" t="n">
        <v>33.84777777777778</v>
      </c>
    </row>
  </sheetData>
  <mergeCells count="9">
    <mergeCell ref="A53:K53"/>
    <mergeCell ref="A3:K3"/>
    <mergeCell ref="A43:K43"/>
    <mergeCell ref="A2:K2"/>
    <mergeCell ref="A33:K33"/>
    <mergeCell ref="A63:K63"/>
    <mergeCell ref="A13:K13"/>
    <mergeCell ref="A1:K1"/>
    <mergeCell ref="A23:K23"/>
  </mergeCells>
  <conditionalFormatting sqref="B25:K31">
    <cfRule type="cellIs" priority="1" operator="greaterThanOrEqual" dxfId="0">
      <formula>75</formula>
    </cfRule>
    <cfRule type="cellIs" priority="2" operator="between" dxfId="1">
      <formula>65</formula>
      <formula>74.99</formula>
    </cfRule>
    <cfRule type="cellIs" priority="3" operator="lessThan" dxfId="2">
      <formula>65</formula>
    </cfRule>
  </conditionalFormatting>
  <conditionalFormatting sqref="B35:K41">
    <cfRule type="cellIs" priority="4" operator="lessThanOrEqual" dxfId="0">
      <formula>5</formula>
    </cfRule>
    <cfRule type="cellIs" priority="5" operator="between" dxfId="1">
      <formula>5.01</formula>
      <formula>15</formula>
    </cfRule>
    <cfRule type="cellIs" priority="6" operator="greaterThan" dxfId="2">
      <formula>15</formula>
    </cfRule>
  </conditionalFormatting>
  <conditionalFormatting sqref="B45:K51">
    <cfRule type="cellIs" priority="7" operator="lessThanOrEqual" dxfId="0">
      <formula>20</formula>
    </cfRule>
    <cfRule type="cellIs" priority="8" operator="between" dxfId="1">
      <formula>20.01</formula>
      <formula>30</formula>
    </cfRule>
    <cfRule type="cellIs" priority="9" operator="greaterThan" dxfId="2">
      <formula>30</formula>
    </cfRule>
  </conditionalFormatting>
  <conditionalFormatting sqref="B55:K61">
    <cfRule type="cellIs" priority="10" operator="lessThanOrEqual" dxfId="0">
      <formula>10</formula>
    </cfRule>
    <cfRule type="cellIs" priority="11" operator="between" dxfId="1">
      <formula>10.01</formula>
      <formula>20</formula>
    </cfRule>
    <cfRule type="cellIs" priority="12" operator="greaterThan" dxfId="2">
      <formula>20</formula>
    </cfRule>
  </conditionalFormatting>
  <conditionalFormatting sqref="B65:K71">
    <cfRule type="cellIs" priority="13" operator="lessThan" dxfId="0">
      <formula>15</formula>
    </cfRule>
    <cfRule type="cellIs" priority="14" operator="between" dxfId="1">
      <formula>15</formula>
      <formula>34.99</formula>
    </cfRule>
    <cfRule type="cellIs" priority="15" operator="greaterThanOrEqual" dxfId="2">
      <formula>35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</cols>
  <sheetData>
    <row r="1" ht="30" customHeight="1">
      <c r="A1" s="1" t="inlineStr">
        <is>
          <t>🏆 JACOMAR | Ranking Lojas | 11/05–17/05 vs 18/05–24/05</t>
        </is>
      </c>
    </row>
    <row r="2">
      <c r="A2" s="2" t="inlineStr">
        <is>
          <t>Ordenação por Score Criticidade (pior → melhor). Score 0 = perfeito, 100 = crítico.</t>
        </is>
      </c>
    </row>
    <row r="3">
      <c r="A3" s="12" t="inlineStr">
        <is>
          <t>#</t>
        </is>
      </c>
      <c r="B3" s="12" t="inlineStr">
        <is>
          <t>Loja</t>
        </is>
      </c>
      <c r="C3" s="12" t="inlineStr">
        <is>
          <t>SLA 11/05–17/05</t>
        </is>
      </c>
      <c r="D3" s="12" t="inlineStr">
        <is>
          <t>SLA 18/05–24/05</t>
        </is>
      </c>
      <c r="E3" s="12" t="inlineStr">
        <is>
          <t>Δ SLA</t>
        </is>
      </c>
      <c r="F3" s="12" t="inlineStr">
        <is>
          <t>NSU 11/05–17/05</t>
        </is>
      </c>
      <c r="G3" s="12" t="inlineStr">
        <is>
          <t>NSU 18/05–24/05</t>
        </is>
      </c>
      <c r="H3" s="12" t="inlineStr">
        <is>
          <t>Δ NSU</t>
        </is>
      </c>
      <c r="I3" s="12" t="inlineStr">
        <is>
          <t>Score 11/05–17/05</t>
        </is>
      </c>
      <c r="J3" s="12" t="inlineStr">
        <is>
          <t>Score 18/05–24/05</t>
        </is>
      </c>
    </row>
    <row r="4" ht="18" customHeight="1">
      <c r="A4" s="47" t="n">
        <v>1</v>
      </c>
      <c r="B4" s="5" t="inlineStr">
        <is>
          <t>Capão Raso</t>
        </is>
      </c>
      <c r="C4" s="14" t="n">
        <v>95.64</v>
      </c>
      <c r="D4" s="14" t="n">
        <v>95.56</v>
      </c>
      <c r="E4" s="48" t="n">
        <v>-0.07999999999999829</v>
      </c>
      <c r="F4" s="14" t="n">
        <v>0.52</v>
      </c>
      <c r="G4" s="14" t="n">
        <v>0.37</v>
      </c>
      <c r="H4" s="48" t="n">
        <v>-0.15</v>
      </c>
      <c r="I4" s="15" t="n">
        <v>27.7</v>
      </c>
      <c r="J4" s="15" t="n">
        <v>28.7</v>
      </c>
    </row>
    <row r="5" ht="18" customHeight="1">
      <c r="A5" s="49" t="n">
        <v>2</v>
      </c>
      <c r="B5" s="7" t="inlineStr">
        <is>
          <t>Colônia Rio Grande</t>
        </is>
      </c>
      <c r="C5" s="18" t="n">
        <v>86.55</v>
      </c>
      <c r="D5" s="18" t="n">
        <v>86.97</v>
      </c>
      <c r="E5" s="50" t="n">
        <v>0.4200000000000017</v>
      </c>
      <c r="F5" s="18" t="n">
        <v>3.45</v>
      </c>
      <c r="G5" s="18" t="n">
        <v>0.33</v>
      </c>
      <c r="H5" s="50" t="n">
        <v>-3.12</v>
      </c>
      <c r="I5" s="19" t="n">
        <v>35.35</v>
      </c>
      <c r="J5" s="19" t="n">
        <v>27.94</v>
      </c>
    </row>
    <row r="6" ht="18" customHeight="1">
      <c r="A6" s="47" t="n">
        <v>3</v>
      </c>
      <c r="B6" s="5" t="inlineStr">
        <is>
          <t>Br277</t>
        </is>
      </c>
      <c r="C6" s="14" t="n">
        <v>95.47</v>
      </c>
      <c r="D6" s="14" t="n">
        <v>95.43000000000001</v>
      </c>
      <c r="E6" s="48" t="n">
        <v>-0.03999999999999204</v>
      </c>
      <c r="F6" s="14" t="n">
        <v>1.51</v>
      </c>
      <c r="G6" s="14" t="n">
        <v>1.52</v>
      </c>
      <c r="H6" s="48" t="n">
        <v>0.01000000000000001</v>
      </c>
      <c r="I6" s="15" t="n">
        <v>36.17</v>
      </c>
      <c r="J6" s="15" t="n">
        <v>23.4</v>
      </c>
    </row>
    <row r="7" ht="18" customHeight="1">
      <c r="A7" s="49" t="n">
        <v>4</v>
      </c>
      <c r="B7" s="7" t="inlineStr">
        <is>
          <t>Pinhais</t>
        </is>
      </c>
      <c r="C7" s="18" t="n">
        <v>94.27</v>
      </c>
      <c r="D7" s="18" t="n">
        <v>97.13</v>
      </c>
      <c r="E7" s="50" t="n">
        <v>2.859999999999999</v>
      </c>
      <c r="F7" s="18" t="n">
        <v>0</v>
      </c>
      <c r="G7" s="18" t="n">
        <v>0.72</v>
      </c>
      <c r="H7" s="50" t="n">
        <v>0.72</v>
      </c>
      <c r="I7" s="19" t="n">
        <v>30.88</v>
      </c>
      <c r="J7" s="19" t="n">
        <v>18.91</v>
      </c>
    </row>
    <row r="8" ht="18" customHeight="1">
      <c r="A8" s="47" t="n">
        <v>5</v>
      </c>
      <c r="B8" s="5" t="inlineStr">
        <is>
          <t>Ganchinho</t>
        </is>
      </c>
      <c r="C8" s="14" t="n">
        <v>87.23999999999999</v>
      </c>
      <c r="D8" s="14" t="n">
        <v>88.95</v>
      </c>
      <c r="E8" s="48" t="n">
        <v>1.710000000000008</v>
      </c>
      <c r="F8" s="14" t="n">
        <v>2.04</v>
      </c>
      <c r="G8" s="14" t="n">
        <v>0</v>
      </c>
      <c r="H8" s="48" t="n">
        <v>-2.04</v>
      </c>
      <c r="I8" s="15" t="n">
        <v>18.36</v>
      </c>
      <c r="J8" s="15" t="n">
        <v>9.16</v>
      </c>
    </row>
    <row r="9" ht="18" customHeight="1">
      <c r="A9" s="49" t="n">
        <v>6</v>
      </c>
      <c r="B9" s="7" t="inlineStr">
        <is>
          <t>Maestro</t>
        </is>
      </c>
      <c r="C9" s="18" t="n">
        <v>89.13</v>
      </c>
      <c r="D9" s="18" t="n">
        <v>97.04000000000001</v>
      </c>
      <c r="E9" s="50" t="n">
        <v>7.910000000000011</v>
      </c>
      <c r="F9" s="18" t="n">
        <v>0</v>
      </c>
      <c r="G9" s="18" t="n">
        <v>0</v>
      </c>
      <c r="H9" s="50" t="n">
        <v>0</v>
      </c>
      <c r="I9" s="19" t="n">
        <v>16.92</v>
      </c>
      <c r="J9" s="19" t="n">
        <v>4.25</v>
      </c>
    </row>
    <row r="10" ht="18" customHeight="1">
      <c r="A10" s="47" t="n">
        <v>7</v>
      </c>
      <c r="B10" s="5" t="inlineStr">
        <is>
          <t>Fazenda Rio Grande</t>
        </is>
      </c>
      <c r="C10" s="14" t="n">
        <v>79.44</v>
      </c>
      <c r="D10" s="14" t="n">
        <v>84.59</v>
      </c>
      <c r="E10" s="48" t="n">
        <v>5.150000000000006</v>
      </c>
      <c r="F10" s="14" t="n">
        <v>1.52</v>
      </c>
      <c r="G10" s="14" t="n">
        <v>1.4</v>
      </c>
      <c r="H10" s="48" t="n">
        <v>-0.1200000000000001</v>
      </c>
      <c r="I10" s="15" t="n">
        <v>1.01</v>
      </c>
      <c r="J10" s="15" t="n">
        <v>0</v>
      </c>
    </row>
  </sheetData>
  <mergeCells count="2">
    <mergeCell ref="A1:J1"/>
    <mergeCell ref="A2:J2"/>
  </mergeCells>
  <conditionalFormatting sqref="C4:D10">
    <cfRule type="cellIs" priority="1" operator="greaterThanOrEqual" dxfId="0">
      <formula>75</formula>
    </cfRule>
    <cfRule type="cellIs" priority="2" operator="between" dxfId="1">
      <formula>65</formula>
      <formula>74.99</formula>
    </cfRule>
    <cfRule type="cellIs" priority="3" operator="lessThan" dxfId="2">
      <formula>65</formula>
    </cfRule>
  </conditionalFormatting>
  <conditionalFormatting sqref="F4:G10">
    <cfRule type="cellIs" priority="4" operator="lessThanOrEqual" dxfId="0">
      <formula>5</formula>
    </cfRule>
    <cfRule type="cellIs" priority="5" operator="between" dxfId="1">
      <formula>5.01</formula>
      <formula>15</formula>
    </cfRule>
    <cfRule type="cellIs" priority="6" operator="greaterThan" dxfId="2">
      <formula>15</formula>
    </cfRule>
  </conditionalFormatting>
  <conditionalFormatting sqref="I4:J10">
    <cfRule type="cellIs" priority="7" operator="lessThan" dxfId="0">
      <formula>15</formula>
    </cfRule>
    <cfRule type="cellIs" priority="8" operator="between" dxfId="1">
      <formula>15</formula>
      <formula>34.99</formula>
    </cfRule>
    <cfRule type="cellIs" priority="9" operator="greaterThanOrEqual" dxfId="2">
      <formula>35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5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</cols>
  <sheetData>
    <row r="1" ht="30" customHeight="1">
      <c r="A1" s="30" t="inlineStr">
        <is>
          <t>🔍 JACOMAR | Itens Rupturados — Pareto 80% | 01/05 – 24/05/2026</t>
        </is>
      </c>
    </row>
    <row r="2">
      <c r="A2" s="2" t="inlineStr">
        <is>
          <t>Itens que representam 80% do GMV perdido por ruptura. 24 itens no Pareto.</t>
        </is>
      </c>
    </row>
    <row r="3">
      <c r="A3" s="12" t="inlineStr">
        <is>
          <t>#</t>
        </is>
      </c>
      <c r="B3" s="12" t="inlineStr">
        <is>
          <t>EAN</t>
        </is>
      </c>
      <c r="C3" s="12" t="inlineStr">
        <is>
          <t>Produto</t>
        </is>
      </c>
      <c r="D3" s="12" t="inlineStr">
        <is>
          <t>Departamento</t>
        </is>
      </c>
      <c r="E3" s="12" t="inlineStr">
        <is>
          <t>Categoria</t>
        </is>
      </c>
      <c r="F3" s="12" t="inlineStr">
        <is>
          <t>Marca</t>
        </is>
      </c>
      <c r="G3" s="12" t="inlineStr">
        <is>
          <t>GMV Perdido R$</t>
        </is>
      </c>
      <c r="H3" s="12" t="inlineStr">
        <is>
          <t>GMV Acum. %</t>
        </is>
      </c>
    </row>
    <row r="4" ht="16" customHeight="1">
      <c r="A4" s="21" t="n">
        <v>1</v>
      </c>
      <c r="B4" s="21" t="inlineStr">
        <is>
          <t>7891000100103</t>
        </is>
      </c>
      <c r="C4" s="13" t="inlineStr">
        <is>
          <t>Café Solúvel Nescafé 200g</t>
        </is>
      </c>
      <c r="D4" s="13" t="inlineStr">
        <is>
          <t>Mercearia</t>
        </is>
      </c>
      <c r="E4" s="13" t="inlineStr">
        <is>
          <t>Café</t>
        </is>
      </c>
      <c r="F4" s="13" t="inlineStr">
        <is>
          <t>Nestlé</t>
        </is>
      </c>
      <c r="G4" s="6" t="n">
        <v>1820.25</v>
      </c>
      <c r="H4" s="32" t="n">
        <v>0.07078473546283165</v>
      </c>
    </row>
    <row r="5" ht="16" customHeight="1">
      <c r="A5" s="23" t="n">
        <v>2</v>
      </c>
      <c r="B5" s="23" t="inlineStr">
        <is>
          <t>7891000315507</t>
        </is>
      </c>
      <c r="C5" s="16" t="inlineStr">
        <is>
          <t>Achocolatado Nescau 400g</t>
        </is>
      </c>
      <c r="D5" s="16" t="inlineStr">
        <is>
          <t>Mercearia</t>
        </is>
      </c>
      <c r="E5" s="16" t="inlineStr">
        <is>
          <t>Achocolatado</t>
        </is>
      </c>
      <c r="F5" s="16" t="inlineStr">
        <is>
          <t>Nestlé</t>
        </is>
      </c>
      <c r="G5" s="8" t="n">
        <v>1543.6</v>
      </c>
      <c r="H5" s="33" t="n">
        <v>0.1308112799816763</v>
      </c>
    </row>
    <row r="6" ht="16" customHeight="1">
      <c r="A6" s="21" t="n">
        <v>3</v>
      </c>
      <c r="B6" s="21" t="inlineStr">
        <is>
          <t>7896002300085</t>
        </is>
      </c>
      <c r="C6" s="13" t="inlineStr">
        <is>
          <t>Leite Integral Italac 1L</t>
        </is>
      </c>
      <c r="D6" s="13" t="inlineStr">
        <is>
          <t>Laticínios</t>
        </is>
      </c>
      <c r="E6" s="13" t="inlineStr">
        <is>
          <t>Leite</t>
        </is>
      </c>
      <c r="F6" s="13" t="inlineStr">
        <is>
          <t>Italac</t>
        </is>
      </c>
      <c r="G6" s="6" t="n">
        <v>1386.44</v>
      </c>
      <c r="H6" s="32" t="n">
        <v>0.1847262854122975</v>
      </c>
    </row>
    <row r="7" ht="16" customHeight="1">
      <c r="A7" s="23" t="n">
        <v>4</v>
      </c>
      <c r="B7" s="23" t="inlineStr">
        <is>
          <t>7896036090191</t>
        </is>
      </c>
      <c r="C7" s="16" t="inlineStr">
        <is>
          <t>Frango Inteiro Sadia 2kg</t>
        </is>
      </c>
      <c r="D7" s="16" t="inlineStr">
        <is>
          <t>Carnes</t>
        </is>
      </c>
      <c r="E7" s="16" t="inlineStr">
        <is>
          <t>Frango</t>
        </is>
      </c>
      <c r="F7" s="16" t="inlineStr">
        <is>
          <t>Sadia</t>
        </is>
      </c>
      <c r="G7" s="8" t="n">
        <v>1210</v>
      </c>
      <c r="H7" s="33" t="n">
        <v>0.2317800032587616</v>
      </c>
    </row>
    <row r="8" ht="16" customHeight="1">
      <c r="A8" s="21" t="n">
        <v>5</v>
      </c>
      <c r="B8" s="21" t="inlineStr">
        <is>
          <t>7891991010909</t>
        </is>
      </c>
      <c r="C8" s="13" t="inlineStr">
        <is>
          <t>Açúcar Cristal União 1kg</t>
        </is>
      </c>
      <c r="D8" s="13" t="inlineStr">
        <is>
          <t>Mercearia</t>
        </is>
      </c>
      <c r="E8" s="13" t="inlineStr">
        <is>
          <t>Açúcar</t>
        </is>
      </c>
      <c r="F8" s="13" t="inlineStr">
        <is>
          <t>União</t>
        </is>
      </c>
      <c r="G8" s="6" t="n">
        <v>1127.5</v>
      </c>
      <c r="H8" s="32" t="n">
        <v>0.2756255130702395</v>
      </c>
    </row>
    <row r="9" ht="16" customHeight="1">
      <c r="A9" s="23" t="n">
        <v>6</v>
      </c>
      <c r="B9" s="23" t="inlineStr">
        <is>
          <t>7896004004001</t>
        </is>
      </c>
      <c r="C9" s="16" t="inlineStr">
        <is>
          <t>Óleo de Soja Liza 900ml</t>
        </is>
      </c>
      <c r="D9" s="16" t="inlineStr">
        <is>
          <t>Mercearia</t>
        </is>
      </c>
      <c r="E9" s="16" t="inlineStr">
        <is>
          <t>Óleos</t>
        </is>
      </c>
      <c r="F9" s="16" t="inlineStr">
        <is>
          <t>Liza</t>
        </is>
      </c>
      <c r="G9" s="8" t="n">
        <v>1050</v>
      </c>
      <c r="H9" s="33" t="n">
        <v>0.3164572516973365</v>
      </c>
    </row>
    <row r="10" ht="16" customHeight="1">
      <c r="A10" s="21" t="n">
        <v>7</v>
      </c>
      <c r="B10" s="21" t="inlineStr">
        <is>
          <t>7896007811052</t>
        </is>
      </c>
      <c r="C10" s="13" t="inlineStr">
        <is>
          <t>Arroz Agulhinha Camil 5kg</t>
        </is>
      </c>
      <c r="D10" s="13" t="inlineStr">
        <is>
          <t>Mercearia</t>
        </is>
      </c>
      <c r="E10" s="13" t="inlineStr">
        <is>
          <t>Arroz</t>
        </is>
      </c>
      <c r="F10" s="13" t="inlineStr">
        <is>
          <t>Camil</t>
        </is>
      </c>
      <c r="G10" s="6" t="n">
        <v>980</v>
      </c>
      <c r="H10" s="32" t="n">
        <v>0.3545668744159604</v>
      </c>
    </row>
    <row r="11" ht="16" customHeight="1">
      <c r="A11" s="23" t="n">
        <v>8</v>
      </c>
      <c r="B11" s="23" t="inlineStr">
        <is>
          <t>7896036095010</t>
        </is>
      </c>
      <c r="C11" s="16" t="inlineStr">
        <is>
          <t>Carne Moída Bovina 500g</t>
        </is>
      </c>
      <c r="D11" s="16" t="inlineStr">
        <is>
          <t>Carnes</t>
        </is>
      </c>
      <c r="E11" s="16" t="inlineStr">
        <is>
          <t>Bovino</t>
        </is>
      </c>
      <c r="F11" s="16" t="inlineStr">
        <is>
          <t>SEM MARCA</t>
        </is>
      </c>
      <c r="G11" s="8" t="n">
        <v>936</v>
      </c>
      <c r="H11" s="33" t="n">
        <v>0.3909654528492583</v>
      </c>
    </row>
    <row r="12" ht="16" customHeight="1">
      <c r="A12" s="21" t="n">
        <v>9</v>
      </c>
      <c r="B12" s="21" t="inlineStr">
        <is>
          <t>7891000244876</t>
        </is>
      </c>
      <c r="C12" s="13" t="inlineStr">
        <is>
          <t>Leite em Pó Integral Ninho 400g</t>
        </is>
      </c>
      <c r="D12" s="13" t="inlineStr">
        <is>
          <t>Laticínios</t>
        </is>
      </c>
      <c r="E12" s="13" t="inlineStr">
        <is>
          <t>Leite em Pó</t>
        </is>
      </c>
      <c r="F12" s="13" t="inlineStr">
        <is>
          <t>Nestlé</t>
        </is>
      </c>
      <c r="G12" s="6" t="n">
        <v>912</v>
      </c>
      <c r="H12" s="32" t="n">
        <v>0.426430734399651</v>
      </c>
    </row>
    <row r="13" ht="16" customHeight="1">
      <c r="A13" s="23" t="n">
        <v>10</v>
      </c>
      <c r="B13" s="23" t="inlineStr">
        <is>
          <t>7896056800827</t>
        </is>
      </c>
      <c r="C13" s="16" t="inlineStr">
        <is>
          <t>Feijão Carioca Camil 1kg</t>
        </is>
      </c>
      <c r="D13" s="16" t="inlineStr">
        <is>
          <t>Mercearia</t>
        </is>
      </c>
      <c r="E13" s="16" t="inlineStr">
        <is>
          <t>Feijão</t>
        </is>
      </c>
      <c r="F13" s="16" t="inlineStr">
        <is>
          <t>Camil</t>
        </is>
      </c>
      <c r="G13" s="8" t="n">
        <v>884</v>
      </c>
      <c r="H13" s="33" t="n">
        <v>0.4608071695866546</v>
      </c>
    </row>
    <row r="14" ht="16" customHeight="1">
      <c r="A14" s="21" t="n">
        <v>11</v>
      </c>
      <c r="B14" s="21" t="inlineStr">
        <is>
          <t>7891156007014</t>
        </is>
      </c>
      <c r="C14" s="13" t="inlineStr">
        <is>
          <t>Macarrão Espaguete Barilla 500g</t>
        </is>
      </c>
      <c r="D14" s="13" t="inlineStr">
        <is>
          <t>Mercearia</t>
        </is>
      </c>
      <c r="E14" s="13" t="inlineStr">
        <is>
          <t>Massas</t>
        </is>
      </c>
      <c r="F14" s="13" t="inlineStr">
        <is>
          <t>Barilla</t>
        </is>
      </c>
      <c r="G14" s="6" t="n">
        <v>836</v>
      </c>
      <c r="H14" s="32" t="n">
        <v>0.4933170110078479</v>
      </c>
    </row>
    <row r="15" ht="16" customHeight="1">
      <c r="A15" s="23" t="n">
        <v>12</v>
      </c>
      <c r="B15" s="23" t="inlineStr">
        <is>
          <t>7898215152510</t>
        </is>
      </c>
      <c r="C15" s="16" t="inlineStr">
        <is>
          <t>Iogurte Natural Activia 170g</t>
        </is>
      </c>
      <c r="D15" s="16" t="inlineStr">
        <is>
          <t>Laticínios</t>
        </is>
      </c>
      <c r="E15" s="16" t="inlineStr">
        <is>
          <t>Iogurte</t>
        </is>
      </c>
      <c r="F15" s="16" t="inlineStr">
        <is>
          <t>Danone</t>
        </is>
      </c>
      <c r="G15" s="8" t="n">
        <v>770</v>
      </c>
      <c r="H15" s="33" t="n">
        <v>0.5232602860010523</v>
      </c>
    </row>
    <row r="16" ht="16" customHeight="1">
      <c r="A16" s="21" t="n">
        <v>13</v>
      </c>
      <c r="B16" s="21" t="inlineStr">
        <is>
          <t>7891515901018</t>
        </is>
      </c>
      <c r="C16" s="13" t="inlineStr">
        <is>
          <t>Biscoito Recheado Oreo 120g</t>
        </is>
      </c>
      <c r="D16" s="13" t="inlineStr">
        <is>
          <t>Mercearia</t>
        </is>
      </c>
      <c r="E16" s="13" t="inlineStr">
        <is>
          <t>Biscoitos</t>
        </is>
      </c>
      <c r="F16" s="13" t="inlineStr">
        <is>
          <t>Mondelez</t>
        </is>
      </c>
      <c r="G16" s="6" t="n">
        <v>720</v>
      </c>
      <c r="H16" s="32" t="n">
        <v>0.5512591924882045</v>
      </c>
    </row>
    <row r="17" ht="16" customHeight="1">
      <c r="A17" s="23" t="n">
        <v>14</v>
      </c>
      <c r="B17" s="23" t="inlineStr">
        <is>
          <t>7896045102069</t>
        </is>
      </c>
      <c r="C17" s="16" t="inlineStr">
        <is>
          <t>Refrigerante Coca-Cola 2L</t>
        </is>
      </c>
      <c r="D17" s="16" t="inlineStr">
        <is>
          <t>Bebidas</t>
        </is>
      </c>
      <c r="E17" s="16" t="inlineStr">
        <is>
          <t>Refrigerante</t>
        </is>
      </c>
      <c r="F17" s="16" t="inlineStr">
        <is>
          <t>Coca-Cola</t>
        </is>
      </c>
      <c r="G17" s="8" t="n">
        <v>690</v>
      </c>
      <c r="H17" s="33" t="n">
        <v>0.5780914778717253</v>
      </c>
    </row>
    <row r="18" ht="16" customHeight="1">
      <c r="A18" s="21" t="n">
        <v>15</v>
      </c>
      <c r="B18" s="21" t="inlineStr">
        <is>
          <t>7896214531612</t>
        </is>
      </c>
      <c r="C18" s="13" t="inlineStr">
        <is>
          <t>Papel Higiênico Neve 12 rolos</t>
        </is>
      </c>
      <c r="D18" s="13" t="inlineStr">
        <is>
          <t>Higiene</t>
        </is>
      </c>
      <c r="E18" s="13" t="inlineStr">
        <is>
          <t>Papel Higiênico</t>
        </is>
      </c>
      <c r="F18" s="13" t="inlineStr">
        <is>
          <t>Kimberly-Clark</t>
        </is>
      </c>
      <c r="G18" s="6" t="n">
        <v>660</v>
      </c>
      <c r="H18" s="32" t="n">
        <v>0.6037571421516149</v>
      </c>
    </row>
    <row r="19" ht="16" customHeight="1">
      <c r="A19" s="23" t="n">
        <v>16</v>
      </c>
      <c r="B19" s="23" t="inlineStr">
        <is>
          <t>7891910000197</t>
        </is>
      </c>
      <c r="C19" s="16" t="inlineStr">
        <is>
          <t>Detergente Ypê Limão 500ml</t>
        </is>
      </c>
      <c r="D19" s="16" t="inlineStr">
        <is>
          <t>Limpeza</t>
        </is>
      </c>
      <c r="E19" s="16" t="inlineStr">
        <is>
          <t>Detergente</t>
        </is>
      </c>
      <c r="F19" s="16" t="inlineStr">
        <is>
          <t>Ypê</t>
        </is>
      </c>
      <c r="G19" s="8" t="n">
        <v>605</v>
      </c>
      <c r="H19" s="33" t="n">
        <v>0.6272840010748469</v>
      </c>
    </row>
    <row r="20" ht="16" customHeight="1">
      <c r="A20" s="21" t="n">
        <v>17</v>
      </c>
      <c r="B20" s="21" t="inlineStr">
        <is>
          <t>7896020129116</t>
        </is>
      </c>
      <c r="C20" s="13" t="inlineStr">
        <is>
          <t>Azeite Extravirgem Gallo 500ml</t>
        </is>
      </c>
      <c r="D20" s="13" t="inlineStr">
        <is>
          <t>Mercearia</t>
        </is>
      </c>
      <c r="E20" s="13" t="inlineStr">
        <is>
          <t>Azeite</t>
        </is>
      </c>
      <c r="F20" s="13" t="inlineStr">
        <is>
          <t>Gallo</t>
        </is>
      </c>
      <c r="G20" s="6" t="n">
        <v>588</v>
      </c>
      <c r="H20" s="32" t="n">
        <v>0.6501497747060212</v>
      </c>
    </row>
    <row r="21" ht="16" customHeight="1">
      <c r="A21" s="23" t="n">
        <v>18</v>
      </c>
      <c r="B21" s="23" t="inlineStr">
        <is>
          <t>7896045102038</t>
        </is>
      </c>
      <c r="C21" s="16" t="inlineStr">
        <is>
          <t>Suco de Laranja Del Valle 1L</t>
        </is>
      </c>
      <c r="D21" s="16" t="inlineStr">
        <is>
          <t>Bebidas</t>
        </is>
      </c>
      <c r="E21" s="16" t="inlineStr">
        <is>
          <t>Suco</t>
        </is>
      </c>
      <c r="F21" s="16" t="inlineStr">
        <is>
          <t>Del Valle</t>
        </is>
      </c>
      <c r="G21" s="8" t="n">
        <v>572</v>
      </c>
      <c r="H21" s="33" t="n">
        <v>0.6723933504152587</v>
      </c>
    </row>
    <row r="22" ht="16" customHeight="1">
      <c r="A22" s="21" t="n">
        <v>19</v>
      </c>
      <c r="B22" s="21" t="inlineStr">
        <is>
          <t>7891000100240</t>
        </is>
      </c>
      <c r="C22" s="13" t="inlineStr">
        <is>
          <t>Leite Condensado Moça 395g</t>
        </is>
      </c>
      <c r="D22" s="13" t="inlineStr">
        <is>
          <t>Mercearia</t>
        </is>
      </c>
      <c r="E22" s="13" t="inlineStr">
        <is>
          <t>Leite Condensado</t>
        </is>
      </c>
      <c r="F22" s="13" t="inlineStr">
        <is>
          <t>Nestlé</t>
        </is>
      </c>
      <c r="G22" s="6" t="n">
        <v>560</v>
      </c>
      <c r="H22" s="32" t="n">
        <v>0.6941702776830438</v>
      </c>
    </row>
    <row r="23" ht="16" customHeight="1">
      <c r="A23" s="23" t="n">
        <v>20</v>
      </c>
      <c r="B23" s="23" t="inlineStr">
        <is>
          <t>7896058501098</t>
        </is>
      </c>
      <c r="C23" s="16" t="inlineStr">
        <is>
          <t>Molho de Tomate Knorr 340g</t>
        </is>
      </c>
      <c r="D23" s="16" t="inlineStr">
        <is>
          <t>Mercearia</t>
        </is>
      </c>
      <c r="E23" s="16" t="inlineStr">
        <is>
          <t>Molhos</t>
        </is>
      </c>
      <c r="F23" s="16" t="inlineStr">
        <is>
          <t>Knorr</t>
        </is>
      </c>
      <c r="G23" s="8" t="n">
        <v>520</v>
      </c>
      <c r="H23" s="33" t="n">
        <v>0.7143917101459871</v>
      </c>
    </row>
    <row r="24" ht="16" customHeight="1">
      <c r="A24" s="21" t="n">
        <v>21</v>
      </c>
      <c r="B24" s="21" t="inlineStr">
        <is>
          <t>7896035503060</t>
        </is>
      </c>
      <c r="C24" s="13" t="inlineStr">
        <is>
          <t>Manteiga Aviação Com Sal 200g</t>
        </is>
      </c>
      <c r="D24" s="13" t="inlineStr">
        <is>
          <t>Laticínios</t>
        </is>
      </c>
      <c r="E24" s="13" t="inlineStr">
        <is>
          <t>Manteiga</t>
        </is>
      </c>
      <c r="F24" s="13" t="inlineStr">
        <is>
          <t>Aviação</t>
        </is>
      </c>
      <c r="G24" s="6" t="n">
        <v>484</v>
      </c>
      <c r="H24" s="32" t="n">
        <v>0.7332131972845727</v>
      </c>
    </row>
    <row r="25" ht="16" customHeight="1">
      <c r="A25" s="23" t="n">
        <v>22</v>
      </c>
      <c r="B25" s="23" t="inlineStr">
        <is>
          <t>7896045205028</t>
        </is>
      </c>
      <c r="C25" s="16" t="inlineStr">
        <is>
          <t>Cerveja Brahma Lata 350ml</t>
        </is>
      </c>
      <c r="D25" s="16" t="inlineStr">
        <is>
          <t>Bebidas</t>
        </is>
      </c>
      <c r="E25" s="16" t="inlineStr">
        <is>
          <t>Cerveja</t>
        </is>
      </c>
      <c r="F25" s="16" t="inlineStr">
        <is>
          <t>AmBev</t>
        </is>
      </c>
      <c r="G25" s="8" t="n">
        <v>468</v>
      </c>
      <c r="H25" s="33" t="n">
        <v>0.7514124865012216</v>
      </c>
    </row>
    <row r="26" ht="16" customHeight="1">
      <c r="A26" s="21" t="n">
        <v>23</v>
      </c>
      <c r="B26" s="21" t="inlineStr">
        <is>
          <t>7896000594130</t>
        </is>
      </c>
      <c r="C26" s="13" t="inlineStr">
        <is>
          <t>Queijo Minas Frescal 500g</t>
        </is>
      </c>
      <c r="D26" s="13" t="inlineStr">
        <is>
          <t>Laticínios</t>
        </is>
      </c>
      <c r="E26" s="13" t="inlineStr">
        <is>
          <t>Queijo</t>
        </is>
      </c>
      <c r="F26" s="13" t="inlineStr">
        <is>
          <t>SEM MARCA</t>
        </is>
      </c>
      <c r="G26" s="6" t="n">
        <v>448</v>
      </c>
      <c r="H26" s="32" t="n">
        <v>0.7688340283154497</v>
      </c>
    </row>
    <row r="27" ht="16" customHeight="1">
      <c r="A27" s="23" t="n">
        <v>24</v>
      </c>
      <c r="B27" s="23" t="inlineStr">
        <is>
          <t>7896259410028</t>
        </is>
      </c>
      <c r="C27" s="16" t="inlineStr">
        <is>
          <t>Farinha de Trigo Dona Benta 1kg</t>
        </is>
      </c>
      <c r="D27" s="16" t="inlineStr">
        <is>
          <t>Mercearia</t>
        </is>
      </c>
      <c r="E27" s="16" t="inlineStr">
        <is>
          <t>Farinha</t>
        </is>
      </c>
      <c r="F27" s="16" t="inlineStr">
        <is>
          <t>Dona Benta</t>
        </is>
      </c>
      <c r="G27" s="8" t="n">
        <v>420</v>
      </c>
      <c r="H27" s="33" t="n">
        <v>0.7851667237662885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GMV FAT (R$)</t>
        </is>
      </c>
      <c r="C1" t="inlineStr">
        <is>
          <t>Pedidos</t>
        </is>
      </c>
      <c r="D1" t="inlineStr">
        <is>
          <t>SLA %</t>
        </is>
      </c>
      <c r="E1" t="inlineStr">
        <is>
          <t>NSU %</t>
        </is>
      </c>
      <c r="F1" t="inlineStr">
        <is>
          <t>RuptPed %</t>
        </is>
      </c>
    </row>
    <row r="2">
      <c r="A2" t="inlineStr">
        <is>
          <t>23/03–29/03</t>
        </is>
      </c>
      <c r="B2" t="n">
        <v>326986.58</v>
      </c>
      <c r="C2" t="n">
        <v>2738</v>
      </c>
      <c r="D2" t="n">
        <v>87.58</v>
      </c>
      <c r="E2" t="n">
        <v>1.78</v>
      </c>
      <c r="F2" t="n">
        <v>29.66</v>
      </c>
    </row>
    <row r="3">
      <c r="A3" t="inlineStr">
        <is>
          <t>30/03–05/04</t>
        </is>
      </c>
      <c r="B3" t="n">
        <v>398914.79</v>
      </c>
      <c r="C3" t="n">
        <v>3180</v>
      </c>
      <c r="D3" t="n">
        <v>91.76000000000001</v>
      </c>
      <c r="E3" t="n">
        <v>2.16</v>
      </c>
      <c r="F3" t="n">
        <v>33.4</v>
      </c>
    </row>
    <row r="4">
      <c r="A4" t="inlineStr">
        <is>
          <t>06/04–12/04</t>
        </is>
      </c>
      <c r="B4" t="n">
        <v>319185.8700000001</v>
      </c>
      <c r="C4" t="n">
        <v>2571</v>
      </c>
      <c r="D4" t="n">
        <v>94.44</v>
      </c>
      <c r="E4" t="n">
        <v>1.52</v>
      </c>
      <c r="F4" t="n">
        <v>36.44</v>
      </c>
    </row>
    <row r="5">
      <c r="A5" t="inlineStr">
        <is>
          <t>13/04–19/04</t>
        </is>
      </c>
      <c r="B5" t="n">
        <v>311298.27</v>
      </c>
      <c r="C5" t="n">
        <v>2565</v>
      </c>
      <c r="D5" t="n">
        <v>94</v>
      </c>
      <c r="E5" t="n">
        <v>1.09</v>
      </c>
      <c r="F5" t="n">
        <v>30.81</v>
      </c>
    </row>
    <row r="6">
      <c r="A6" t="inlineStr">
        <is>
          <t>20/04–26/04</t>
        </is>
      </c>
      <c r="B6" t="n">
        <v>314481.42</v>
      </c>
      <c r="C6" t="n">
        <v>2668</v>
      </c>
      <c r="D6" t="n">
        <v>93.84999999999999</v>
      </c>
      <c r="E6" t="n">
        <v>1.79</v>
      </c>
      <c r="F6" t="n">
        <v>32.87</v>
      </c>
    </row>
    <row r="7">
      <c r="A7" t="inlineStr">
        <is>
          <t>27/04–03/05</t>
        </is>
      </c>
      <c r="B7" t="n">
        <v>359601.61</v>
      </c>
      <c r="C7" t="n">
        <v>2930</v>
      </c>
      <c r="D7" t="n">
        <v>87.78</v>
      </c>
      <c r="E7" t="n">
        <v>1.67</v>
      </c>
      <c r="F7" t="n">
        <v>33.85</v>
      </c>
    </row>
    <row r="8">
      <c r="A8" t="inlineStr">
        <is>
          <t>04/05–10/05</t>
        </is>
      </c>
      <c r="B8" t="n">
        <v>386166.73</v>
      </c>
      <c r="C8" t="n">
        <v>3010</v>
      </c>
      <c r="D8" t="n">
        <v>82.95999999999999</v>
      </c>
      <c r="E8" t="n">
        <v>3.92</v>
      </c>
      <c r="F8" t="n">
        <v>37.14</v>
      </c>
    </row>
    <row r="9">
      <c r="A9" t="inlineStr">
        <is>
          <t>11/05–17/05</t>
        </is>
      </c>
      <c r="B9" t="n">
        <v>330062.51</v>
      </c>
      <c r="C9" t="n">
        <v>2778</v>
      </c>
      <c r="D9" t="n">
        <v>90.09999999999999</v>
      </c>
      <c r="E9" t="n">
        <v>1.29</v>
      </c>
      <c r="F9" t="n">
        <v>39.02</v>
      </c>
    </row>
    <row r="10">
      <c r="A10" t="inlineStr">
        <is>
          <t>18/05–24/05</t>
        </is>
      </c>
      <c r="B10" t="n">
        <v>309574.78</v>
      </c>
      <c r="C10" t="n">
        <v>2624</v>
      </c>
      <c r="D10" t="n">
        <v>93.14</v>
      </c>
      <c r="E10" t="n">
        <v>0.62</v>
      </c>
      <c r="F10" t="n">
        <v>32.15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Score 11/05–17/05</t>
        </is>
      </c>
      <c r="C1" t="inlineStr">
        <is>
          <t>Score 18/05–24/05</t>
        </is>
      </c>
      <c r="D1" t="inlineStr">
        <is>
          <t>SLA 18/05–24/05</t>
        </is>
      </c>
    </row>
    <row r="2">
      <c r="A2" t="inlineStr">
        <is>
          <t>Capão Raso</t>
        </is>
      </c>
      <c r="B2" t="n">
        <v>27.7</v>
      </c>
      <c r="C2" t="n">
        <v>28.7</v>
      </c>
      <c r="D2" t="n">
        <v>95.56</v>
      </c>
    </row>
    <row r="3">
      <c r="A3" t="inlineStr">
        <is>
          <t>Colônia Rio Grande</t>
        </is>
      </c>
      <c r="B3" t="n">
        <v>35.35</v>
      </c>
      <c r="C3" t="n">
        <v>27.94</v>
      </c>
      <c r="D3" t="n">
        <v>86.97</v>
      </c>
    </row>
    <row r="4">
      <c r="A4" t="inlineStr">
        <is>
          <t>Br277</t>
        </is>
      </c>
      <c r="B4" t="n">
        <v>36.17</v>
      </c>
      <c r="C4" t="n">
        <v>23.4</v>
      </c>
      <c r="D4" t="n">
        <v>95.43000000000001</v>
      </c>
    </row>
    <row r="5">
      <c r="A5" t="inlineStr">
        <is>
          <t>Pinhais</t>
        </is>
      </c>
      <c r="B5" t="n">
        <v>30.88</v>
      </c>
      <c r="C5" t="n">
        <v>18.91</v>
      </c>
      <c r="D5" t="n">
        <v>97.13</v>
      </c>
    </row>
    <row r="6">
      <c r="A6" t="inlineStr">
        <is>
          <t>Ganchinho</t>
        </is>
      </c>
      <c r="B6" t="n">
        <v>18.36</v>
      </c>
      <c r="C6" t="n">
        <v>9.16</v>
      </c>
      <c r="D6" t="n">
        <v>88.95</v>
      </c>
    </row>
    <row r="7">
      <c r="A7" t="inlineStr">
        <is>
          <t>Maestro</t>
        </is>
      </c>
      <c r="B7" t="n">
        <v>16.92</v>
      </c>
      <c r="C7" t="n">
        <v>4.25</v>
      </c>
      <c r="D7" t="n">
        <v>97.04000000000001</v>
      </c>
    </row>
    <row r="8">
      <c r="A8" t="inlineStr">
        <is>
          <t>Fazenda Rio Grande</t>
        </is>
      </c>
      <c r="B8" t="n">
        <v>1.01</v>
      </c>
      <c r="C8" t="n">
        <v>0</v>
      </c>
      <c r="D8" t="n">
        <v>84.59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2026-05-25T18:18:17Z</dcterms:created>
  <dcterms:modified xsi:type="dcterms:W3CDTF">2026-05-25T18:18:17Z</dcterms:modified>
</cp:coreProperties>
</file>